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d3b1ec8ac64e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nel" sheetId="1" r:id="Re641956711b64158"/>
    <x:sheet xmlns:r="http://schemas.openxmlformats.org/officeDocument/2006/relationships" name="Pacientes" sheetId="2" r:id="Rf26d848f63d74bc5"/>
    <x:sheet xmlns:r="http://schemas.openxmlformats.org/officeDocument/2006/relationships" name="Planos_Contratos" sheetId="3" r:id="R36897bb313204a96"/>
    <x:sheet xmlns:r="http://schemas.openxmlformats.org/officeDocument/2006/relationships" name="Atendimentos" sheetId="4" r:id="R7dba6c86a03b4a09"/>
    <x:sheet xmlns:r="http://schemas.openxmlformats.org/officeDocument/2006/relationships" name="Recebimentos" sheetId="5" r:id="R222500e8d89b4a76"/>
    <x:sheet xmlns:r="http://schemas.openxmlformats.org/officeDocument/2006/relationships" name="Despesas" sheetId="6" r:id="R36d5b3d5fac14339"/>
    <x:sheet xmlns:r="http://schemas.openxmlformats.org/officeDocument/2006/relationships" name="Configuracoes" sheetId="7" r:id="Rcbaffc5e24344b79"/>
  </x:sheets>
</x:workbook>
</file>

<file path=xl/sharedStrings.xml><?xml version="1.0" encoding="utf-8"?>
<x:sst xmlns:x="http://schemas.openxmlformats.org/spreadsheetml/2006/main">
  <x:si>
    <x:t xml:space="preserve">GESTÃO DO CONSULTÓRIO — PAULA</x:t>
  </x:si>
  <x:si>
    <x:t xml:space="preserve">Fluxo: 1) cadastre o paciente uma vez | 2) crie o contrato | 3) registre atendimentos pelo contrato | 4) registre recebimentos pelo contrato</x:t>
  </x:si>
  <x:si>
    <x:t xml:space="preserve">Indicador</x:t>
  </x:si>
  <x:si>
    <x:t xml:space="preserve">Valor</x:t>
  </x:si>
  <x:si>
    <x:t xml:space="preserve">Como usar</x:t>
  </x:si>
  <x:si>
    <x:t xml:space="preserve">Pacientes cadastrados</x:t>
  </x:si>
  <x:si>
    <x:t xml:space="preserve">PACIENTES</x:t>
  </x:si>
  <x:si>
    <x:t xml:space="preserve">Cadastre nome, telefone e dados básicos apenas uma vez.</x:t>
  </x:si>
  <x:si>
    <x:t xml:space="preserve">Pacientes ativos</x:t>
  </x:si>
  <x:si>
    <x:t xml:space="preserve">PLANOS / CONTRATOS</x:t>
  </x:si>
  <x:si>
    <x:t xml:space="preserve">Escolha o paciente na lista; preços e desconto PIX são automáticos.</x:t>
  </x:si>
  <x:si>
    <x:t xml:space="preserve">Contratos em andamento</x:t>
  </x:si>
  <x:si>
    <x:t xml:space="preserve">ATENDIMENTOS</x:t>
  </x:si>
  <x:si>
    <x:t xml:space="preserve">Escolha o ID do contrato; paciente e valor aparecem automaticamente.</x:t>
  </x:si>
  <x:si>
    <x:t xml:space="preserve">Consultas realizadas</x:t>
  </x:si>
  <x:si>
    <x:t xml:space="preserve">RECEBIMENTOS</x:t>
  </x:si>
  <x:si>
    <x:t xml:space="preserve">Escolha o contrato; paciente, forma de pagamento, parcelas e valor sugerido são automáticos.</x:t>
  </x:si>
  <x:si>
    <x:t xml:space="preserve">Receita contratada</x:t>
  </x:si>
  <x:si>
    <x:t xml:space="preserve">DESPESAS</x:t>
  </x:si>
  <x:si>
    <x:t xml:space="preserve">Registre somente os gastos do consultório.</x:t>
  </x:si>
  <x:si>
    <x:t xml:space="preserve">Receita líquida recebida</x:t>
  </x:si>
  <x:si>
    <x:t xml:space="preserve">CORES</x:t>
  </x:si>
  <x:si>
    <x:t xml:space="preserve">Despesas pagas</x:t>
  </x:si>
  <x:si>
    <x:t xml:space="preserve">Resultado de caixa</x:t>
  </x:si>
  <x:si>
    <x:t xml:space="preserve">Consultas ainda a realizar</x:t>
  </x:si>
  <x:si>
    <x:t xml:space="preserve">CADASTRO DE PACIENTES</x:t>
  </x:si>
  <x:si>
    <x:t xml:space="preserve">ID_Paciente</x:t>
  </x:si>
  <x:si>
    <x:t xml:space="preserve">Nome</x:t>
  </x:si>
  <x:si>
    <x:t xml:space="preserve">Telefone</x:t>
  </x:si>
  <x:si>
    <x:t xml:space="preserve">Data_Cadastro</x:t>
  </x:si>
  <x:si>
    <x:t xml:space="preserve">Modalidade_Preferida</x:t>
  </x:si>
  <x:si>
    <x:t xml:space="preserve">Origem_Paciente</x:t>
  </x:si>
  <x:si>
    <x:t xml:space="preserve">Status_Paciente</x:t>
  </x:si>
  <x:si>
    <x:t xml:space="preserve">Observacao_Administrativa</x:t>
  </x:si>
  <x:si>
    <x:t xml:space="preserve">Presencial</x:t>
  </x:si>
  <x:si>
    <x:t xml:space="preserve">Instagram</x:t>
  </x:si>
  <x:si>
    <x:t xml:space="preserve">Novo</x:t>
  </x:si>
  <x:si>
    <x:t xml:space="preserve">Online</x:t>
  </x:si>
  <x:si>
    <x:t xml:space="preserve">Indicação </x:t>
  </x:si>
  <x:si>
    <x:t xml:space="preserve">Google </x:t>
  </x:si>
  <x:si>
    <x:t xml:space="preserve">Ativo</x:t>
  </x:si>
  <x:si>
    <x:t xml:space="preserve">Rádio </x:t>
  </x:si>
  <x:si>
    <x:t xml:space="preserve">Retorno Pendente</x:t>
  </x:si>
  <x:si>
    <x:t xml:space="preserve">Inativo</x:t>
  </x:si>
  <x:si>
    <x:t xml:space="preserve">PLANOS E CONTRATOS</x:t>
  </x:si>
  <x:si>
    <x:t xml:space="preserve">ID_Contrato</x:t>
  </x:si>
  <x:si>
    <x:t xml:space="preserve">Paciente</x:t>
  </x:si>
  <x:si>
    <x:t xml:space="preserve">Data_Contratacao</x:t>
  </x:si>
  <x:si>
    <x:t xml:space="preserve">Tipo_Plano</x:t>
  </x:si>
  <x:si>
    <x:t xml:space="preserve">Quantidade_Consultas</x:t>
  </x:si>
  <x:si>
    <x:t xml:space="preserve">Valor_Unitario</x:t>
  </x:si>
  <x:si>
    <x:t xml:space="preserve">Valor_Bruto</x:t>
  </x:si>
  <x:si>
    <x:t xml:space="preserve">Forma_Pagamento</x:t>
  </x:si>
  <x:si>
    <x:t xml:space="preserve">Percentual_Desconto</x:t>
  </x:si>
  <x:si>
    <x:t xml:space="preserve">Valor_Desconto</x:t>
  </x:si>
  <x:si>
    <x:t xml:space="preserve">Valor_Final</x:t>
  </x:si>
  <x:si>
    <x:t xml:space="preserve">Numero_Parcelas</x:t>
  </x:si>
  <x:si>
    <x:t xml:space="preserve">Data_Inicio</x:t>
  </x:si>
  <x:si>
    <x:t xml:space="preserve">Status_Contrato</x:t>
  </x:si>
  <x:si>
    <x:t xml:space="preserve">Consultas_Realizadas</x:t>
  </x:si>
  <x:si>
    <x:t xml:space="preserve">Consultas_Restantes</x:t>
  </x:si>
  <x:si>
    <x:t xml:space="preserve">Consulta Avulsa</x:t>
  </x:si>
  <x:si>
    <x:t xml:space="preserve">PIX</x:t>
  </x:si>
  <x:si>
    <x:t xml:space="preserve">Concluído</x:t>
  </x:si>
  <x:si>
    <x:t xml:space="preserve">Plano Quinzenal</x:t>
  </x:si>
  <x:si>
    <x:t xml:space="preserve">Cartão Crédito</x:t>
  </x:si>
  <x:si>
    <x:t xml:space="preserve">Em andamento</x:t>
  </x:si>
  <x:si>
    <x:t xml:space="preserve">Dinheiro</x:t>
  </x:si>
  <x:si>
    <x:t xml:space="preserve">Cartão Débito</x:t>
  </x:si>
  <x:si>
    <x:t xml:space="preserve">Plano Semanal</x:t>
  </x:si>
  <x:si>
    <x:t xml:space="preserve">AGENDA E ATENDIMENTOS</x:t>
  </x:si>
  <x:si>
    <x:t xml:space="preserve">Selecione o ID do contrato e informe data, hora, modalidade e status. Paciente e valor são preenchidos automaticamente.</x:t>
  </x:si>
  <x:si>
    <x:t xml:space="preserve">ID_Atendimento</x:t>
  </x:si>
  <x:si>
    <x:t xml:space="preserve">Data_Atendimento</x:t>
  </x:si>
  <x:si>
    <x:t xml:space="preserve">Hora</x:t>
  </x:si>
  <x:si>
    <x:t xml:space="preserve">Modalidade</x:t>
  </x:si>
  <x:si>
    <x:t xml:space="preserve">Status_Atendimento</x:t>
  </x:si>
  <x:si>
    <x:t xml:space="preserve">Valor_Referencial_Consulta</x:t>
  </x:si>
  <x:si>
    <x:t xml:space="preserve">Realizado</x:t>
  </x:si>
  <x:si>
    <x:t xml:space="preserve">Faltou</x:t>
  </x:si>
  <x:si>
    <x:t xml:space="preserve">Agendado</x:t>
  </x:si>
  <x:si>
    <x:t xml:space="preserve">Cancelado</x:t>
  </x:si>
  <x:si>
    <x:t xml:space="preserve">Selecione o contrato. Paciente, forma de pagamento, total de parcelas e valor sugerido aparecem automaticamente.</x:t>
  </x:si>
  <x:si>
    <x:t xml:space="preserve">ID_Recebimento</x:t>
  </x:si>
  <x:si>
    <x:t xml:space="preserve">Data_Vencimento</x:t>
  </x:si>
  <x:si>
    <x:t xml:space="preserve">Data_Recebimento</x:t>
  </x:si>
  <x:si>
    <x:t xml:space="preserve">Valor_Cobrado</x:t>
  </x:si>
  <x:si>
    <x:t xml:space="preserve">Taxa_Cartao</x:t>
  </x:si>
  <x:si>
    <x:t xml:space="preserve">Valor_Liquido</x:t>
  </x:si>
  <x:si>
    <x:t xml:space="preserve">Parcela</x:t>
  </x:si>
  <x:si>
    <x:t xml:space="preserve">Total_Parcelas</x:t>
  </x:si>
  <x:si>
    <x:t xml:space="preserve">Status</x:t>
  </x:si>
  <x:si>
    <x:t xml:space="preserve">Recebido</x:t>
  </x:si>
  <x:si>
    <x:t xml:space="preserve">Pendente</x:t>
  </x:si>
  <x:si>
    <x:t xml:space="preserve">DESPESAS DO CONSULTÓRIO</x:t>
  </x:si>
  <x:si>
    <x:t xml:space="preserve">ID_Despesa</x:t>
  </x:si>
  <x:si>
    <x:t xml:space="preserve">Data_Competencia</x:t>
  </x:si>
  <x:si>
    <x:t xml:space="preserve">Data_Pagamento</x:t>
  </x:si>
  <x:si>
    <x:t xml:space="preserve">Categoria</x:t>
  </x:si>
  <x:si>
    <x:t xml:space="preserve">Descricao</x:t>
  </x:si>
  <x:si>
    <x:t xml:space="preserve">Tipo_Despesa</x:t>
  </x:si>
  <x:si>
    <x:t xml:space="preserve">Comunicação</x:t>
  </x:si>
  <x:si>
    <x:t xml:space="preserve">Celular</x:t>
  </x:si>
  <x:si>
    <x:t xml:space="preserve">Fixa</x:t>
  </x:si>
  <x:si>
    <x:t xml:space="preserve">Pago</x:t>
  </x:si>
  <x:si>
    <x:t xml:space="preserve">Software</x:t>
  </x:si>
  <x:si>
    <x:t xml:space="preserve">Dietbox</x:t>
  </x:si>
  <x:si>
    <x:t xml:space="preserve">Conselho Profissional</x:t>
  </x:si>
  <x:si>
    <x:t xml:space="preserve">Conselho de Nutrição</x:t>
  </x:si>
  <x:si>
    <x:t xml:space="preserve">Coworking</x:t>
  </x:si>
  <x:si>
    <x:t xml:space="preserve">Marketing</x:t>
  </x:si>
  <x:si>
    <x:t xml:space="preserve">Impulsionamento Instagram</x:t>
  </x:si>
  <x:si>
    <x:t xml:space="preserve">Variável</x:t>
  </x:si>
  <x:si>
    <x:t xml:space="preserve">Material</x:t>
  </x:si>
  <x:si>
    <x:t xml:space="preserve">Materiais de escritório</x:t>
  </x:si>
  <x:si>
    <x:t xml:space="preserve">Transporte</x:t>
  </x:si>
  <x:si>
    <x:t xml:space="preserve">Deslocamentos</x:t>
  </x:si>
  <x:si>
    <x:t xml:space="preserve">Anúncios online</x:t>
  </x:si>
  <x:si>
    <x:t xml:space="preserve">Taxas</x:t>
  </x:si>
  <x:si>
    <x:t xml:space="preserve">Taxas bancárias</x:t>
  </x:si>
  <x:si>
    <x:t xml:space="preserve">Impressões e materiais</x:t>
  </x:si>
  <x:si>
    <x:t xml:space="preserve">Produção de conteúdo</x:t>
  </x:si>
  <x:si>
    <x:t xml:space="preserve">Outros</x:t>
  </x:si>
  <x:si>
    <x:t xml:space="preserve">Café para atendimento</x:t>
  </x:si>
  <x:si>
    <x:t xml:space="preserve">Materiais para consultório</x:t>
  </x:si>
  <x:si>
    <x:t xml:space="preserve">CONFIGURAÇÕES E PARÂMETROS</x:t>
  </x:si>
  <x:si>
    <x:t xml:space="preserve">Tipos de Plano</x:t>
  </x:si>
  <x:si>
    <x:t xml:space="preserve">Valor por Consulta</x:t>
  </x:si>
  <x:si>
    <x:t xml:space="preserve">Parâmetro</x:t>
  </x:si>
  <x:si>
    <x:t xml:space="preserve">Despesas Fixas</x:t>
  </x:si>
  <x:si>
    <x:t xml:space="preserve">Valor Mensal</x:t>
  </x:si>
  <x:si>
    <x:t xml:space="preserve">Formas_Pagamento</x:t>
  </x:si>
  <x:si>
    <x:t xml:space="preserve">Status_Recebimento</x:t>
  </x:si>
  <x:si>
    <x:t xml:space="preserve">Categoria_Despesa</x:t>
  </x:si>
  <x:si>
    <x:t xml:space="preserve">Status_Despesa</x:t>
  </x:si>
  <x:si>
    <x:t xml:space="preserve">Desconto PIX</x:t>
  </x:si>
  <x:si>
    <x:t xml:space="preserve">Mínimo consultas - Avulsa</x:t>
  </x:si>
  <x:si>
    <x:t xml:space="preserve">Mínimo consultas - Quinzenal</x:t>
  </x:si>
  <x:si>
    <x:t xml:space="preserve">Mínimo consultas - Semanal</x:t>
  </x:si>
  <x:si>
    <x:t xml:space="preserve">Total despesas fixas</x:t>
  </x:si>
  <x:si>
    <x:t xml:space="preserve">Outro</x:t>
  </x:si>
  <x:si>
    <x:t xml:space="preserve">Em Pausa</x:t>
  </x:si>
  <x:si>
    <x:t xml:space="preserve">Impostos</x:t>
  </x:si>
</x:sst>
</file>

<file path=xl/styles.xml><?xml version="1.0" encoding="utf-8"?>
<x:styleSheet xmlns:x="http://schemas.openxmlformats.org/spreadsheetml/2006/main">
  <x:numFmts count="8">
    <x:numFmt numFmtId="164" formatCode="\R\$\ #,##0.00;[Red]\(\R\$\ #,##0.00\);\-"/>
    <x:numFmt numFmtId="165" formatCode="0.0%"/>
    <x:numFmt numFmtId="200" formatCode="0"/>
    <x:numFmt numFmtId="201" formatCode="dd/mm/yyyy"/>
    <x:numFmt numFmtId="202" formatCode="R$ #,##0.00"/>
    <x:numFmt numFmtId="203" formatCode="0%"/>
    <x:numFmt numFmtId="204" formatCode="hh:mm"/>
    <x:numFmt numFmtId="205" formatCode="@"/>
  </x:numFmts>
  <x:fonts count="17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color rgb="FF203864"/>
      <x:name val="Carlito"/>
    </x:font>
    <x:font>
      <x:i/>
      <x:sz val="11"/>
      <x:color rgb="FF1F1F1F"/>
      <x:name val="Carlito"/>
    </x:font>
    <x:font>
      <x:sz val="11"/>
      <x:color rgb="FF1F1F1F"/>
      <x:name val="Carlito"/>
    </x:font>
    <x:font>
      <x:b/>
      <x:sz val="16"/>
      <x:color rgb="FFDDE6C5"/>
      <x:name val="Carlito"/>
    </x:font>
    <x:font>
      <x:i/>
      <x:sz val="10"/>
      <x:color rgb="FF66736B"/>
      <x:name val="Carlito"/>
    </x:font>
    <x:font>
      <x:b/>
      <x:sz val="9"/>
      <x:color rgb="FFFFFFFF"/>
      <x:name val="Carlito"/>
    </x:font>
    <x:font>
      <x:sz val="9"/>
      <x:color rgb="FF24352A"/>
      <x:name val="Carlito"/>
    </x:font>
    <x:font>
      <x:b/>
      <x:sz val="9"/>
      <x:color rgb="FF24352A"/>
      <x:name val="Carlito"/>
    </x:font>
    <x:font>
      <x:b/>
      <x:sz val="18"/>
      <x:color rgb="FFDDE6C5"/>
      <x:name val="Carlito"/>
    </x:font>
    <x:font>
      <x:b/>
      <x:sz val="10"/>
      <x:color rgb="FF24352A"/>
      <x:name val="Carlito"/>
    </x:font>
    <x:font>
      <x:b/>
      <x:sz val="12"/>
      <x:color rgb="FF234A2F"/>
      <x:name val="Carlito"/>
    </x:font>
    <x:font>
      <x:b/>
      <x:sz val="11"/>
      <x:color rgb="FF234A2F"/>
      <x:name val="Carlito"/>
    </x:font>
    <x:font>
      <x:sz val="11"/>
      <x:color rgb="FF24352A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7F7F7"/>
      </x:patternFill>
    </x:fill>
    <x:fill>
      <x:patternFill patternType="solid">
        <x:fgColor rgb="FF234A2F"/>
      </x:patternFill>
    </x:fill>
    <x:fill>
      <x:patternFill patternType="solid">
        <x:fgColor theme="6" tint="0.79998"/>
      </x:patternFill>
    </x:fill>
    <x:fill>
      <x:patternFill patternType="solid">
        <x:fgColor rgb="FF234A2F"/>
      </x:patternFill>
    </x:fill>
    <x:fill>
      <x:patternFill patternType="solid">
        <x:fgColor rgb="FFF4F7EE"/>
      </x:patternFill>
    </x:fill>
    <x:fill>
      <x:patternFill patternType="solid">
        <x:fgColor rgb="FFE8EFE3"/>
      </x:patternFill>
    </x:fill>
    <x:fill>
      <x:patternFill patternType="solid">
        <x:fgColor rgb="FFF8FAF5"/>
      </x:patternFill>
    </x:fill>
    <x:fill>
      <x:patternFill patternType="solid">
        <x:fgColor rgb="FFDDE6C5"/>
      </x:patternFill>
    </x:fill>
    <x:fill>
      <x:patternFill patternType="solid">
        <x:fgColor rgb="FFFAFBF8"/>
      </x:patternFill>
    </x:fill>
  </x:fills>
  <x:borders count="2">
    <x:border/>
    <x:border/>
  </x:borders>
  <x:cellStyleXfs count="1">
    <x:xf numFmtId="0" fontId="0" fillId="0" borderId="0"/>
  </x:cellStyleXfs>
  <x:cellXfs count="224">
    <x:xf numFmtId="0" fontId="0" fillId="0" borderId="0" xfId="0"/>
    <x:xf numFmtId="164" fontId="0" fillId="0" borderId="0" xfId="0" applyNumberFormat="1"/>
    <x:xf numFmtId="0" fontId="3" fillId="2" borderId="0" xfId="0" applyFont="1" applyFill="1"/>
    <x:xf numFmtId="164" fontId="3" fillId="2" borderId="0" xfId="0" applyNumberFormat="1" applyFont="1" applyFill="1"/>
    <x:xf numFmtId="165" fontId="3" fillId="2" borderId="0" xfId="0" applyNumberFormat="1" applyFont="1" applyFill="1"/>
    <x:xf numFmtId="0" fontId="4" fillId="3" borderId="0" xfId="0" applyFont="1" applyFill="1"/>
    <x:xf numFmtId="164" fontId="4" fillId="3" borderId="0" xfId="0" applyNumberFormat="1" applyFont="1" applyFill="1"/>
    <x:xf numFmtId="0" fontId="5" fillId="4" borderId="0" xfId="0" applyFont="1" applyFill="1" applyAlignment="1">
      <x:alignment wrapText="1"/>
    </x:xf>
    <x:xf numFmtId="0" fontId="6" fillId="5" borderId="0" xfId="0" applyFont="1" applyFill="1"/>
    <x:xf numFmtId="14" fontId="3" fillId="2" borderId="0" xfId="0" applyNumberFormat="1" applyFont="1" applyFill="1"/>
    <x:xf numFmtId="164" fontId="6" fillId="5" borderId="0" xfId="0" applyNumberFormat="1" applyFont="1" applyFill="1"/>
    <x:xf numFmtId="165" fontId="6" fillId="5" borderId="0" xfId="0" applyNumberFormat="1" applyFont="1" applyFill="1"/>
    <x:xf numFmtId="20" fontId="3" fillId="2" borderId="0" xfId="0" applyNumberFormat="1" applyFont="1" applyFill="1"/>
    <x:xf numFmtId="0" fontId="0" fillId="6" borderId="0" xfId="0" applyFill="1" applyAlignment="1">
      <x:alignment wrapText="1"/>
    </x:xf>
    <x:xf numFmtId="0" fontId="5" fillId="4" borderId="0" xfId="0" applyFont="1" applyFill="1" applyAlignment="1">
      <x:alignment horizontal="center" wrapText="1"/>
    </x:xf>
    <x:xf numFmtId="0" fontId="1" fillId="7" borderId="0" xfId="0" applyFont="1" applyFill="1" applyAlignment="1">
      <x:alignment vertical="center"/>
    </x:xf>
    <x:xf numFmtId="0" fontId="2" fillId="7" borderId="0" xfId="0" applyFont="1" applyFill="1" applyAlignment="1">
      <x:alignment horizontal="center" vertical="center" wrapText="1"/>
    </x:xf>
    <x:xf numFmtId="0" fontId="4" fillId="8" borderId="0" xfId="0" applyFont="1" applyFill="1" applyAlignment="1">
      <x:alignment wrapText="1"/>
    </x:xf>
    <x:xf numFmtId="0" fontId="0" fillId="0" borderId="1" xfId="0" applyNumberFormat="1" applyFont="1" applyFill="1" applyBorder="1"/>
    <x:xf numFmtId="164" fontId="0" fillId="0" borderId="1" xfId="0" applyNumberFormat="1" applyFont="1" applyFill="1" applyBorder="1"/>
    <x:xf numFmtId="0" fontId="3" fillId="2" borderId="1" xfId="0" applyNumberFormat="1" applyFont="1" applyFill="1" applyBorder="1"/>
    <x:xf numFmtId="164" fontId="3" fillId="2" borderId="1" xfId="0" applyNumberFormat="1" applyFont="1" applyFill="1" applyBorder="1"/>
    <x:xf numFmtId="165" fontId="3" fillId="2" borderId="1" xfId="0" applyNumberFormat="1" applyFont="1" applyFill="1" applyBorder="1"/>
    <x:xf numFmtId="0" fontId="4" fillId="3" borderId="1" xfId="0" applyNumberFormat="1" applyFont="1" applyFill="1" applyBorder="1"/>
    <x:xf numFmtId="164" fontId="4" fillId="3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/>
    <x:xf numFmtId="14" fontId="3" fillId="2" borderId="1" xfId="0" applyNumberFormat="1" applyFont="1" applyFill="1" applyBorder="1"/>
    <x:xf numFmtId="164" fontId="6" fillId="5" borderId="1" xfId="0" applyNumberFormat="1" applyFont="1" applyFill="1" applyBorder="1"/>
    <x:xf numFmtId="165" fontId="6" fillId="5" borderId="1" xfId="0" applyNumberFormat="1" applyFont="1" applyFill="1" applyBorder="1"/>
    <x:xf numFmtId="20" fontId="3" fillId="2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1" fillId="7" borderId="1" xfId="0" applyNumberFormat="1" applyFont="1" applyFill="1" applyBorder="1" applyAlignment="1">
      <x:alignment vertical="center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4" fillId="8" borderId="1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horizontal="left" vertical="center"/>
    </x:xf>
    <x:xf numFmtId="0" fontId="1" fillId="9" borderId="1" xfId="0" applyNumberFormat="1" applyFont="1" applyFill="1" applyBorder="1" applyAlignment="1">
      <x:alignment vertical="center"/>
    </x:xf>
    <x:xf numFmtId="0" fontId="7" fillId="9" borderId="1" xfId="0" applyNumberFormat="1" applyFont="1" applyFill="1" applyBorder="1" applyAlignment="1">
      <x:alignment vertical="center"/>
    </x:xf>
    <x:xf numFmtId="0" fontId="7" fillId="9" borderId="1" xfId="0" applyNumberFormat="1" applyFont="1" applyFill="1" applyBorder="1" applyAlignment="1">
      <x:alignment horizontal="left" vertical="center"/>
    </x:xf>
    <x:xf numFmtId="0" fontId="5" fillId="10" borderId="0" xfId="0" applyNumberFormat="1" applyFont="1" applyFill="1" applyBorder="1" applyAlignment="1">
      <x:alignment horizontal="center" wrapText="1"/>
    </x:xf>
    <x:xf numFmtId="0" fontId="8" fillId="10" borderId="0" xfId="0" applyNumberFormat="1" applyFont="1" applyFill="1" applyBorder="1" applyAlignment="1">
      <x:alignment horizontal="center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5" fillId="10" borderId="1" xfId="0" applyNumberFormat="1" applyFont="1" applyFill="1" applyBorder="1" applyAlignment="1">
      <x:alignment horizontal="center" wrapText="1"/>
    </x:xf>
    <x:xf numFmtId="0" fontId="8" fillId="10" borderId="1" xfId="0" applyNumberFormat="1" applyFont="1" applyFill="1" applyBorder="1" applyAlignment="1">
      <x:alignment horizontal="center" wrapText="1"/>
    </x:xf>
    <x:xf numFmtId="0" fontId="8" fillId="10" borderId="1" xfId="0" applyNumberFormat="1" applyFont="1" applyFill="1" applyBorder="1" applyAlignment="1">
      <x:alignment horizontal="center" vertic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9" fillId="9" borderId="0" xfId="0" applyNumberFormat="1" applyFont="1" applyFill="1" applyBorder="1" applyAlignment="1">
      <x:alignment horizontal="center" vertical="center" wrapText="1"/>
    </x:xf>
    <x:xf numFmtId="0" fontId="2" fillId="9" borderId="1" xfId="0" applyNumberFormat="1" applyFont="1" applyFill="1" applyBorder="1" applyAlignment="1">
      <x:alignment horizontal="center" vertical="center" wrapText="1"/>
    </x:xf>
    <x:xf numFmtId="0" fontId="9" fillId="9" borderId="1" xfId="0" applyNumberFormat="1" applyFont="1" applyFill="1" applyBorder="1" applyAlignment="1">
      <x:alignment horizontal="center" vertical="center" wrapText="1"/>
    </x:xf>
    <x:xf numFmtId="0" fontId="10" fillId="5" borderId="0" xfId="0" applyNumberFormat="1" applyFont="1" applyFill="1" applyBorder="1"/>
    <x:xf numFmtId="0" fontId="10" fillId="2" borderId="0" xfId="0" applyNumberFormat="1" applyFont="1" applyFill="1" applyBorder="1"/>
    <x:xf numFmtId="14" fontId="10" fillId="2" borderId="0" xfId="0" applyNumberFormat="1" applyFont="1" applyFill="1" applyBorder="1"/>
    <x:xf numFmtId="0" fontId="10" fillId="5" borderId="0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 applyAlignment="1">
      <x:alignment vertical="center"/>
    </x:xf>
    <x:xf numFmtId="14" fontId="10" fillId="2" borderId="0" xfId="0" applyNumberFormat="1" applyFont="1" applyFill="1" applyBorder="1" applyAlignment="1">
      <x:alignment vertical="center"/>
    </x:xf>
    <x:xf numFmtId="0" fontId="10" fillId="5" borderId="1" xfId="0" applyNumberFormat="1" applyFont="1" applyFill="1" applyBorder="1"/>
    <x:xf numFmtId="0" fontId="10" fillId="2" borderId="1" xfId="0" applyNumberFormat="1" applyFont="1" applyFill="1" applyBorder="1"/>
    <x:xf numFmtId="14" fontId="10" fillId="2" borderId="1" xfId="0" applyNumberFormat="1" applyFont="1" applyFill="1" applyBorder="1"/>
    <x:xf numFmtId="0" fontId="10" fillId="5" borderId="1" xfId="0" applyNumberFormat="1" applyFont="1" applyFill="1" applyBorder="1" applyAlignment="1">
      <x:alignment vertical="center"/>
    </x:xf>
    <x:xf numFmtId="0" fontId="10" fillId="2" borderId="1" xfId="0" applyNumberFormat="1" applyFont="1" applyFill="1" applyBorder="1" applyAlignment="1">
      <x:alignment vertical="center"/>
    </x:xf>
    <x:xf numFmtId="14" fontId="10" fillId="2" borderId="1" xfId="0" applyNumberFormat="1" applyFont="1" applyFill="1" applyBorder="1" applyAlignment="1">
      <x:alignment vertical="center"/>
    </x:xf>
    <x:xf numFmtId="0" fontId="10" fillId="10" borderId="0" xfId="0" applyNumberFormat="1" applyFont="1" applyFill="1" applyBorder="1" applyAlignment="1">
      <x:alignment vertical="center"/>
    </x:xf>
    <x:xf numFmtId="0" fontId="10" fillId="10" borderId="1" xfId="0" applyNumberFormat="1" applyFont="1" applyFill="1" applyBorder="1" applyAlignment="1">
      <x:alignment vertical="center"/>
    </x:xf>
    <x:xf numFmtId="14" fontId="10" fillId="10" borderId="0" xfId="0" applyNumberFormat="1" applyFont="1" applyFill="1" applyBorder="1" applyAlignment="1">
      <x:alignment vertical="center"/>
    </x:xf>
    <x:xf numFmtId="14" fontId="10" fillId="10" borderId="1" xfId="0" applyNumberFormat="1" applyFont="1" applyFill="1" applyBorder="1" applyAlignment="1">
      <x:alignment vertical="center"/>
    </x:xf>
    <x:xf numFmtId="0" fontId="10" fillId="11" borderId="0" xfId="0" applyNumberFormat="1" applyFont="1" applyFill="1" applyBorder="1" applyAlignment="1">
      <x:alignment vertical="center"/>
    </x:xf>
    <x:xf numFmtId="0" fontId="10" fillId="11" borderId="1" xfId="0" applyNumberFormat="1" applyFont="1" applyFill="1" applyBorder="1" applyAlignment="1">
      <x:alignment vertical="center"/>
    </x:xf>
    <x:xf numFmtId="200" fontId="10" fillId="10" borderId="0" xfId="0" applyNumberFormat="1" applyFont="1" applyFill="1" applyBorder="1" applyAlignment="1">
      <x:alignment vertical="center"/>
    </x:xf>
    <x:xf numFmtId="200" fontId="10" fillId="10" borderId="1" xfId="0" applyNumberFormat="1" applyFont="1" applyFill="1" applyBorder="1" applyAlignment="1">
      <x:alignment vertical="center"/>
    </x:xf>
    <x:xf numFmtId="201" fontId="10" fillId="10" borderId="0" xfId="0" applyNumberFormat="1" applyFont="1" applyFill="1" applyBorder="1" applyAlignment="1">
      <x:alignment vertical="center"/>
    </x:xf>
    <x:xf numFmtId="201" fontId="10" fillId="10" borderId="1" xfId="0" applyNumberFormat="1" applyFont="1" applyFill="1" applyBorder="1" applyAlignment="1">
      <x:alignment vertical="center"/>
    </x:xf>
    <x:xf numFmtId="0" fontId="5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center" wrapText="1"/>
    </x:xf>
    <x:xf numFmtId="0" fontId="5" fillId="10" borderId="1" xfId="0" applyNumberFormat="1" applyFont="1" applyFill="1" applyBorder="1" applyAlignment="1">
      <x:alignment wrapText="1"/>
    </x:xf>
    <x:xf numFmtId="0" fontId="8" fillId="10" borderId="1" xfId="0" applyNumberFormat="1" applyFont="1" applyFill="1" applyBorder="1" applyAlignment="1">
      <x:alignment wrapText="1"/>
    </x:xf>
    <x:xf numFmtId="0" fontId="8" fillId="10" borderId="1" xfId="0" applyNumberFormat="1" applyFont="1" applyFill="1" applyBorder="1" applyAlignment="1">
      <x:alignment vertical="center" wrapText="1"/>
    </x:xf>
    <x:xf numFmtId="164" fontId="10" fillId="5" borderId="0" xfId="0" applyNumberFormat="1" applyFont="1" applyFill="1" applyBorder="1"/>
    <x:xf numFmtId="165" fontId="10" fillId="5" borderId="0" xfId="0" applyNumberFormat="1" applyFont="1" applyFill="1" applyBorder="1"/>
    <x:xf numFmtId="164" fontId="10" fillId="5" borderId="0" xfId="0" applyNumberFormat="1" applyFont="1" applyFill="1" applyBorder="1" applyAlignment="1">
      <x:alignment vertical="center"/>
    </x:xf>
    <x:xf numFmtId="165" fontId="10" fillId="5" borderId="0" xfId="0" applyNumberFormat="1" applyFont="1" applyFill="1" applyBorder="1" applyAlignment="1">
      <x:alignment vertical="center"/>
    </x:xf>
    <x:xf numFmtId="164" fontId="10" fillId="5" borderId="1" xfId="0" applyNumberFormat="1" applyFont="1" applyFill="1" applyBorder="1"/>
    <x:xf numFmtId="165" fontId="10" fillId="5" borderId="1" xfId="0" applyNumberFormat="1" applyFont="1" applyFill="1" applyBorder="1"/>
    <x:xf numFmtId="164" fontId="10" fillId="5" borderId="1" xfId="0" applyNumberFormat="1" applyFont="1" applyFill="1" applyBorder="1" applyAlignment="1">
      <x:alignment vertical="center"/>
    </x:xf>
    <x:xf numFmtId="165" fontId="10" fillId="5" borderId="1" xfId="0" applyNumberFormat="1" applyFont="1" applyFill="1" applyBorder="1" applyAlignment="1">
      <x:alignment vertical="center"/>
    </x:xf>
    <x:xf numFmtId="164" fontId="10" fillId="11" borderId="0" xfId="0" applyNumberFormat="1" applyFont="1" applyFill="1" applyBorder="1" applyAlignment="1">
      <x:alignment vertical="center"/>
    </x:xf>
    <x:xf numFmtId="164" fontId="10" fillId="11" borderId="1" xfId="0" applyNumberFormat="1" applyFont="1" applyFill="1" applyBorder="1" applyAlignment="1">
      <x:alignment vertical="center"/>
    </x:xf>
    <x:xf numFmtId="165" fontId="10" fillId="11" borderId="0" xfId="0" applyNumberFormat="1" applyFont="1" applyFill="1" applyBorder="1" applyAlignment="1">
      <x:alignment vertical="center"/>
    </x:xf>
    <x:xf numFmtId="165" fontId="10" fillId="11" borderId="1" xfId="0" applyNumberFormat="1" applyFont="1" applyFill="1" applyBorder="1" applyAlignment="1">
      <x:alignment vertical="center"/>
    </x:xf>
    <x:xf numFmtId="202" fontId="10" fillId="11" borderId="0" xfId="0" applyNumberFormat="1" applyFont="1" applyFill="1" applyBorder="1" applyAlignment="1">
      <x:alignment vertical="center"/>
    </x:xf>
    <x:xf numFmtId="202" fontId="10" fillId="11" borderId="1" xfId="0" applyNumberFormat="1" applyFont="1" applyFill="1" applyBorder="1" applyAlignment="1">
      <x:alignment vertical="center"/>
    </x:xf>
    <x:xf numFmtId="203" fontId="10" fillId="11" borderId="0" xfId="0" applyNumberFormat="1" applyFont="1" applyFill="1" applyBorder="1" applyAlignment="1">
      <x:alignment vertical="center"/>
    </x:xf>
    <x:xf numFmtId="203" fontId="10" fillId="11" borderId="1" xfId="0" applyNumberFormat="1" applyFont="1" applyFill="1" applyBorder="1" applyAlignment="1">
      <x:alignment vertical="center"/>
    </x:xf>
    <x:xf numFmtId="200" fontId="10" fillId="11" borderId="0" xfId="0" applyNumberFormat="1" applyFont="1" applyFill="1" applyBorder="1" applyAlignment="1">
      <x:alignment vertical="center"/>
    </x:xf>
    <x:xf numFmtId="200" fontId="10" fillId="11" borderId="1" xfId="0" applyNumberFormat="1" applyFont="1" applyFill="1" applyBorder="1" applyAlignment="1">
      <x:alignment vertical="center"/>
    </x:xf>
    <x:xf numFmtId="20" fontId="10" fillId="2" borderId="0" xfId="0" applyNumberFormat="1" applyFont="1" applyFill="1" applyBorder="1"/>
    <x:xf numFmtId="20" fontId="10" fillId="2" borderId="0" xfId="0" applyNumberFormat="1" applyFont="1" applyFill="1" applyBorder="1" applyAlignment="1">
      <x:alignment vertical="center"/>
    </x:xf>
    <x:xf numFmtId="20" fontId="10" fillId="2" borderId="1" xfId="0" applyNumberFormat="1" applyFont="1" applyFill="1" applyBorder="1"/>
    <x:xf numFmtId="20" fontId="10" fillId="2" borderId="1" xfId="0" applyNumberFormat="1" applyFont="1" applyFill="1" applyBorder="1" applyAlignment="1">
      <x:alignment vertical="center"/>
    </x:xf>
    <x:xf numFmtId="20" fontId="10" fillId="10" borderId="0" xfId="0" applyNumberFormat="1" applyFont="1" applyFill="1" applyBorder="1" applyAlignment="1">
      <x:alignment vertical="center"/>
    </x:xf>
    <x:xf numFmtId="20" fontId="10" fillId="10" borderId="1" xfId="0" applyNumberFormat="1" applyFont="1" applyFill="1" applyBorder="1" applyAlignment="1">
      <x:alignment vertical="center"/>
    </x:xf>
    <x:xf numFmtId="204" fontId="10" fillId="10" borderId="0" xfId="0" applyNumberFormat="1" applyFont="1" applyFill="1" applyBorder="1" applyAlignment="1">
      <x:alignment vertical="center"/>
    </x:xf>
    <x:xf numFmtId="204" fontId="10" fillId="10" borderId="1" xfId="0" applyNumberFormat="1" applyFont="1" applyFill="1" applyBorder="1" applyAlignment="1">
      <x:alignment vertical="center"/>
    </x:xf>
    <x:xf numFmtId="164" fontId="10" fillId="2" borderId="0" xfId="0" applyNumberFormat="1" applyFont="1" applyFill="1" applyBorder="1"/>
    <x:xf numFmtId="164" fontId="10" fillId="2" borderId="0" xfId="0" applyNumberFormat="1" applyFont="1" applyFill="1" applyBorder="1" applyAlignment="1">
      <x:alignment vertical="center"/>
    </x:xf>
    <x:xf numFmtId="164" fontId="10" fillId="2" borderId="1" xfId="0" applyNumberFormat="1" applyFont="1" applyFill="1" applyBorder="1"/>
    <x:xf numFmtId="164" fontId="10" fillId="2" borderId="1" xfId="0" applyNumberFormat="1" applyFont="1" applyFill="1" applyBorder="1" applyAlignment="1">
      <x:alignment vertical="center"/>
    </x:xf>
    <x:xf numFmtId="164" fontId="10" fillId="10" borderId="0" xfId="0" applyNumberFormat="1" applyFont="1" applyFill="1" applyBorder="1" applyAlignment="1">
      <x:alignment vertical="center"/>
    </x:xf>
    <x:xf numFmtId="164" fontId="10" fillId="10" borderId="1" xfId="0" applyNumberFormat="1" applyFont="1" applyFill="1" applyBorder="1" applyAlignment="1">
      <x:alignment vertical="center"/>
    </x:xf>
    <x:xf numFmtId="202" fontId="10" fillId="10" borderId="0" xfId="0" applyNumberFormat="1" applyFont="1" applyFill="1" applyBorder="1" applyAlignment="1">
      <x:alignment vertical="center"/>
    </x:xf>
    <x:xf numFmtId="202" fontId="10" fillId="10" borderId="1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0" fillId="9" borderId="1" xfId="0" applyNumberFormat="1" applyFont="1" applyFill="1" applyBorder="1"/>
    <x:xf numFmtId="0" fontId="7" fillId="9" borderId="1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9" fillId="9" borderId="0" xfId="0" applyNumberFormat="1" applyFont="1" applyFill="1" applyBorder="1" applyAlignment="1">
      <x:alignment horizontal="center" wrapText="1"/>
    </x:xf>
    <x:xf numFmtId="0" fontId="9" fillId="9" borderId="1" xfId="0" applyNumberFormat="1" applyFont="1" applyFill="1" applyBorder="1"/>
    <x:xf numFmtId="0" fontId="9" fillId="9" borderId="1" xfId="0" applyNumberFormat="1" applyFont="1" applyFill="1" applyBorder="1" applyAlignment="1">
      <x:alignment wrapText="1"/>
    </x:xf>
    <x:xf numFmtId="0" fontId="9" fillId="9" borderId="1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/>
    <x:xf numFmtId="164" fontId="3" fillId="10" borderId="0" xfId="0" applyNumberFormat="1" applyFont="1" applyFill="1" applyBorder="1"/>
    <x:xf numFmtId="0" fontId="0" fillId="10" borderId="0" xfId="0" applyNumberFormat="1" applyFont="1" applyFill="1" applyBorder="1"/>
    <x:xf numFmtId="165" fontId="3" fillId="10" borderId="0" xfId="0" applyNumberFormat="1" applyFont="1" applyFill="1" applyBorder="1"/>
    <x:xf numFmtId="0" fontId="4" fillId="10" borderId="0" xfId="0" applyNumberFormat="1" applyFont="1" applyFill="1" applyBorder="1"/>
    <x:xf numFmtId="164" fontId="4" fillId="10" borderId="0" xfId="0" applyNumberFormat="1" applyFont="1" applyFill="1" applyBorder="1"/>
    <x:xf numFmtId="0" fontId="10" fillId="10" borderId="0" xfId="0" applyNumberFormat="1" applyFont="1" applyFill="1" applyBorder="1"/>
    <x:xf numFmtId="164" fontId="10" fillId="10" borderId="0" xfId="0" applyNumberFormat="1" applyFont="1" applyFill="1" applyBorder="1"/>
    <x:xf numFmtId="165" fontId="10" fillId="10" borderId="0" xfId="0" applyNumberFormat="1" applyFont="1" applyFill="1" applyBorder="1"/>
    <x:xf numFmtId="0" fontId="11" fillId="10" borderId="0" xfId="0" applyNumberFormat="1" applyFont="1" applyFill="1" applyBorder="1"/>
    <x:xf numFmtId="164" fontId="11" fillId="10" borderId="0" xfId="0" applyNumberFormat="1" applyFont="1" applyFill="1" applyBorder="1"/>
    <x:xf numFmtId="165" fontId="10" fillId="10" borderId="0" xfId="0" applyNumberFormat="1" applyFont="1" applyFill="1" applyBorder="1" applyAlignment="1">
      <x:alignment vertical="center"/>
    </x:xf>
    <x:xf numFmtId="0" fontId="11" fillId="10" borderId="0" xfId="0" applyNumberFormat="1" applyFont="1" applyFill="1" applyBorder="1" applyAlignment="1">
      <x:alignment vertical="center"/>
    </x:xf>
    <x:xf numFmtId="164" fontId="11" fillId="10" borderId="0" xfId="0" applyNumberFormat="1" applyFont="1" applyFill="1" applyBorder="1" applyAlignment="1">
      <x:alignment vertical="center"/>
    </x:xf>
    <x:xf numFmtId="0" fontId="3" fillId="10" borderId="1" xfId="0" applyNumberFormat="1" applyFont="1" applyFill="1" applyBorder="1"/>
    <x:xf numFmtId="164" fontId="3" fillId="10" borderId="1" xfId="0" applyNumberFormat="1" applyFont="1" applyFill="1" applyBorder="1"/>
    <x:xf numFmtId="0" fontId="0" fillId="10" borderId="1" xfId="0" applyNumberFormat="1" applyFont="1" applyFill="1" applyBorder="1"/>
    <x:xf numFmtId="165" fontId="3" fillId="10" borderId="1" xfId="0" applyNumberFormat="1" applyFont="1" applyFill="1" applyBorder="1"/>
    <x:xf numFmtId="0" fontId="4" fillId="10" borderId="1" xfId="0" applyNumberFormat="1" applyFont="1" applyFill="1" applyBorder="1"/>
    <x:xf numFmtId="164" fontId="4" fillId="10" borderId="1" xfId="0" applyNumberFormat="1" applyFont="1" applyFill="1" applyBorder="1"/>
    <x:xf numFmtId="0" fontId="10" fillId="10" borderId="1" xfId="0" applyNumberFormat="1" applyFont="1" applyFill="1" applyBorder="1"/>
    <x:xf numFmtId="164" fontId="10" fillId="10" borderId="1" xfId="0" applyNumberFormat="1" applyFont="1" applyFill="1" applyBorder="1"/>
    <x:xf numFmtId="165" fontId="10" fillId="10" borderId="1" xfId="0" applyNumberFormat="1" applyFont="1" applyFill="1" applyBorder="1"/>
    <x:xf numFmtId="0" fontId="11" fillId="10" borderId="1" xfId="0" applyNumberFormat="1" applyFont="1" applyFill="1" applyBorder="1"/>
    <x:xf numFmtId="164" fontId="11" fillId="10" borderId="1" xfId="0" applyNumberFormat="1" applyFont="1" applyFill="1" applyBorder="1"/>
    <x:xf numFmtId="165" fontId="10" fillId="10" borderId="1" xfId="0" applyNumberFormat="1" applyFont="1" applyFill="1" applyBorder="1" applyAlignment="1">
      <x:alignment vertical="center"/>
    </x:xf>
    <x:xf numFmtId="0" fontId="11" fillId="10" borderId="1" xfId="0" applyNumberFormat="1" applyFont="1" applyFill="1" applyBorder="1" applyAlignment="1">
      <x:alignment vertical="center"/>
    </x:xf>
    <x:xf numFmtId="164" fontId="11" fillId="10" borderId="1" xfId="0" applyNumberFormat="1" applyFont="1" applyFill="1" applyBorder="1" applyAlignment="1">
      <x:alignment vertical="center"/>
    </x:xf>
    <x:xf numFmtId="0" fontId="10" fillId="12" borderId="0" xfId="0" applyNumberFormat="1" applyFont="1" applyFill="1" applyBorder="1" applyAlignment="1">
      <x:alignment vertical="center"/>
    </x:xf>
    <x:xf numFmtId="164" fontId="10" fillId="12" borderId="0" xfId="0" applyNumberFormat="1" applyFont="1" applyFill="1" applyBorder="1" applyAlignment="1">
      <x:alignment vertical="center"/>
    </x:xf>
    <x:xf numFmtId="0" fontId="10" fillId="12" borderId="1" xfId="0" applyNumberFormat="1" applyFont="1" applyFill="1" applyBorder="1" applyAlignment="1">
      <x:alignment vertical="center"/>
    </x:xf>
    <x:xf numFmtId="164" fontId="10" fillId="12" borderId="1" xfId="0" applyNumberFormat="1" applyFont="1" applyFill="1" applyBorder="1" applyAlignment="1">
      <x:alignment vertical="center"/>
    </x:xf>
    <x:xf numFmtId="165" fontId="10" fillId="12" borderId="0" xfId="0" applyNumberFormat="1" applyFont="1" applyFill="1" applyBorder="1" applyAlignment="1">
      <x:alignment vertical="center"/>
    </x:xf>
    <x:xf numFmtId="165" fontId="10" fillId="12" borderId="1" xfId="0" applyNumberFormat="1" applyFont="1" applyFill="1" applyBorder="1" applyAlignment="1">
      <x:alignment vertical="center"/>
    </x:xf>
    <x:xf numFmtId="0" fontId="11" fillId="12" borderId="0" xfId="0" applyNumberFormat="1" applyFont="1" applyFill="1" applyBorder="1" applyAlignment="1">
      <x:alignment vertical="center"/>
    </x:xf>
    <x:xf numFmtId="164" fontId="11" fillId="12" borderId="0" xfId="0" applyNumberFormat="1" applyFont="1" applyFill="1" applyBorder="1" applyAlignment="1">
      <x:alignment vertical="center"/>
    </x:xf>
    <x:xf numFmtId="0" fontId="11" fillId="12" borderId="1" xfId="0" applyNumberFormat="1" applyFont="1" applyFill="1" applyBorder="1" applyAlignment="1">
      <x:alignment vertical="center"/>
    </x:xf>
    <x:xf numFmtId="164" fontId="11" fillId="12" borderId="1" xfId="0" applyNumberFormat="1" applyFont="1" applyFill="1" applyBorder="1" applyAlignment="1">
      <x:alignment vertical="center"/>
    </x:xf>
    <x:xf numFmtId="202" fontId="10" fillId="12" borderId="0" xfId="0" applyNumberFormat="1" applyFont="1" applyFill="1" applyBorder="1" applyAlignment="1">
      <x:alignment vertical="center"/>
    </x:xf>
    <x:xf numFmtId="202" fontId="10" fillId="12" borderId="1" xfId="0" applyNumberFormat="1" applyFont="1" applyFill="1" applyBorder="1" applyAlignment="1">
      <x:alignment vertical="center"/>
    </x:xf>
    <x:xf numFmtId="203" fontId="10" fillId="12" borderId="0" xfId="0" applyNumberFormat="1" applyFont="1" applyFill="1" applyBorder="1" applyAlignment="1">
      <x:alignment vertical="center"/>
    </x:xf>
    <x:xf numFmtId="203" fontId="10" fillId="12" borderId="1" xfId="0" applyNumberFormat="1" applyFont="1" applyFill="1" applyBorder="1" applyAlignment="1">
      <x:alignment vertical="center"/>
    </x:xf>
    <x:xf numFmtId="202" fontId="11" fillId="12" borderId="0" xfId="0" applyNumberFormat="1" applyFont="1" applyFill="1" applyBorder="1" applyAlignment="1">
      <x:alignment vertical="center"/>
    </x:xf>
    <x:xf numFmtId="202" fontId="11" fillId="12" borderId="1" xfId="0" applyNumberFormat="1" applyFont="1" applyFill="1" applyBorder="1" applyAlignment="1">
      <x:alignment vertical="center"/>
    </x:xf>
    <x:xf numFmtId="0" fontId="12" fillId="9" borderId="0" xfId="0" applyNumberFormat="1" applyFont="1" applyFill="1" applyBorder="1" applyAlignment="1">
      <x:alignment vertical="center"/>
    </x:xf>
    <x:xf numFmtId="0" fontId="12" fillId="9" borderId="1" xfId="0" applyNumberFormat="1" applyFont="1" applyFill="1" applyBorder="1" applyAlignment="1">
      <x:alignment vertical="center"/>
    </x:xf>
    <x:xf numFmtId="0" fontId="13" fillId="10" borderId="0" xfId="0" applyNumberFormat="1" applyFont="1" applyFill="1" applyBorder="1"/>
    <x:xf numFmtId="0" fontId="13" fillId="10" borderId="1" xfId="0" applyNumberFormat="1" applyFont="1" applyFill="1" applyBorder="1"/>
    <x:xf numFmtId="0" fontId="0" fillId="11" borderId="0" xfId="0" applyNumberFormat="1" applyFont="1" applyFill="1" applyBorder="1"/>
    <x:xf numFmtId="164" fontId="0" fillId="11" borderId="0" xfId="0" applyNumberFormat="1" applyFont="1" applyFill="1" applyBorder="1"/>
    <x:xf numFmtId="0" fontId="14" fillId="11" borderId="0" xfId="0" applyNumberFormat="1" applyFont="1" applyFill="1" applyBorder="1"/>
    <x:xf numFmtId="164" fontId="14" fillId="11" borderId="0" xfId="0" applyNumberFormat="1" applyFont="1" applyFill="1" applyBorder="1"/>
    <x:xf numFmtId="0" fontId="14" fillId="11" borderId="0" xfId="0" applyNumberFormat="1" applyFont="1" applyFill="1" applyBorder="1" applyAlignment="1">
      <x:alignment horizontal="right"/>
    </x:xf>
    <x:xf numFmtId="164" fontId="14" fillId="11" borderId="0" xfId="0" applyNumberFormat="1" applyFont="1" applyFill="1" applyBorder="1" applyAlignment="1">
      <x:alignment horizontal="right"/>
    </x:xf>
    <x:xf numFmtId="0" fontId="0" fillId="11" borderId="1" xfId="0" applyNumberFormat="1" applyFont="1" applyFill="1" applyBorder="1"/>
    <x:xf numFmtId="164" fontId="0" fillId="11" borderId="1" xfId="0" applyNumberFormat="1" applyFont="1" applyFill="1" applyBorder="1"/>
    <x:xf numFmtId="0" fontId="14" fillId="11" borderId="1" xfId="0" applyNumberFormat="1" applyFont="1" applyFill="1" applyBorder="1"/>
    <x:xf numFmtId="164" fontId="14" fillId="11" borderId="1" xfId="0" applyNumberFormat="1" applyFont="1" applyFill="1" applyBorder="1"/>
    <x:xf numFmtId="0" fontId="14" fillId="11" borderId="1" xfId="0" applyNumberFormat="1" applyFont="1" applyFill="1" applyBorder="1" applyAlignment="1">
      <x:alignment horizontal="right"/>
    </x:xf>
    <x:xf numFmtId="164" fontId="14" fillId="11" borderId="1" xfId="0" applyNumberFormat="1" applyFont="1" applyFill="1" applyBorder="1" applyAlignment="1">
      <x:alignment horizontal="right"/>
    </x:xf>
    <x:xf numFmtId="0" fontId="4" fillId="13" borderId="0" xfId="0" applyNumberFormat="1" applyFont="1" applyFill="1" applyBorder="1" applyAlignment="1">
      <x:alignment wrapText="1"/>
    </x:xf>
    <x:xf numFmtId="0" fontId="15" fillId="13" borderId="0" xfId="0" applyNumberFormat="1" applyFont="1" applyFill="1" applyBorder="1" applyAlignment="1">
      <x:alignment wrapText="1"/>
    </x:xf>
    <x:xf numFmtId="0" fontId="4" fillId="13" borderId="1" xfId="0" applyNumberFormat="1" applyFont="1" applyFill="1" applyBorder="1" applyAlignment="1">
      <x:alignment wrapText="1"/>
    </x:xf>
    <x:xf numFmtId="0" fontId="15" fillId="13" borderId="1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wrapText="1"/>
    </x:xf>
    <x:xf numFmtId="0" fontId="16" fillId="14" borderId="0" xfId="0" applyNumberFormat="1" applyFont="1" applyFill="1" applyBorder="1" applyAlignment="1">
      <x:alignment wrapText="1"/>
    </x:xf>
    <x:xf numFmtId="0" fontId="0" fillId="14" borderId="1" xfId="0" applyNumberFormat="1" applyFont="1" applyFill="1" applyBorder="1" applyAlignment="1">
      <x:alignment wrapText="1"/>
    </x:xf>
    <x:xf numFmtId="0" fontId="16" fillId="14" borderId="1" xfId="0" applyNumberFormat="1" applyFont="1" applyFill="1" applyBorder="1" applyAlignment="1">
      <x:alignment wrapText="1"/>
    </x:xf>
    <x:xf numFmtId="200" fontId="14" fillId="11" borderId="0" xfId="0" applyNumberFormat="1" applyFont="1" applyFill="1" applyBorder="1" applyAlignment="1">
      <x:alignment horizontal="right"/>
    </x:xf>
    <x:xf numFmtId="200" fontId="14" fillId="11" borderId="1" xfId="0" applyNumberFormat="1" applyFont="1" applyFill="1" applyBorder="1" applyAlignment="1">
      <x:alignment horizontal="right"/>
    </x:xf>
    <x:xf numFmtId="202" fontId="14" fillId="11" borderId="0" xfId="0" applyNumberFormat="1" applyFont="1" applyFill="1" applyBorder="1" applyAlignment="1">
      <x:alignment horizontal="right"/>
    </x:xf>
    <x:xf numFmtId="202" fontId="14" fillId="11" borderId="1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/>
    <x:xf numFmtId="164" fontId="0" fillId="0" borderId="0" xfId="0" applyNumberFormat="1" applyFont="1" applyFill="1" applyBorder="1"/>
    <x:xf numFmtId="0" fontId="3" fillId="2" borderId="0" xfId="0" applyNumberFormat="1" applyFont="1" applyFill="1" applyBorder="1"/>
    <x:xf numFmtId="164" fontId="3" fillId="2" borderId="0" xfId="0" applyNumberFormat="1" applyFont="1" applyFill="1" applyBorder="1"/>
    <x:xf numFmtId="165" fontId="3" fillId="2" borderId="0" xfId="0" applyNumberFormat="1" applyFont="1" applyFill="1" applyBorder="1"/>
    <x:xf numFmtId="0" fontId="4" fillId="3" borderId="0" xfId="0" applyNumberFormat="1" applyFont="1" applyFill="1" applyBorder="1"/>
    <x:xf numFmtId="164" fontId="4" fillId="3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/>
    <x:xf numFmtId="14" fontId="3" fillId="2" borderId="0" xfId="0" applyNumberFormat="1" applyFont="1" applyFill="1" applyBorder="1"/>
    <x:xf numFmtId="164" fontId="6" fillId="5" borderId="0" xfId="0" applyNumberFormat="1" applyFont="1" applyFill="1" applyBorder="1"/>
    <x:xf numFmtId="165" fontId="6" fillId="5" borderId="0" xfId="0" applyNumberFormat="1" applyFont="1" applyFill="1" applyBorder="1"/>
    <x:xf numFmtId="20" fontId="3" fillId="2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horizontal="left" vertical="center"/>
    </x:xf>
    <x:xf numFmtId="0" fontId="9" fillId="7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horizontal="center" wrapText="1"/>
    </x:xf>
    <x:xf numFmtId="0" fontId="12" fillId="7" borderId="0" xfId="0" applyNumberFormat="1" applyFont="1" applyFill="1" applyBorder="1" applyAlignment="1">
      <x:alignment vertical="center"/>
    </x:xf>
    <x:xf numFmtId="205" fontId="10" fillId="1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6"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ont>
        <x:color rgb="FF274E13"/>
      </x:font>
      <x:fill>
        <x:patternFill>
          <x:bgColor rgb="FFD9EAD3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b/>
        <x:color rgb="FF234A2F"/>
      </x:font>
      <x:fill>
        <x:patternFill>
          <x:bgColor rgb="FFE2F0D8"/>
        </x:patternFill>
      </x:fill>
    </x:dxf>
    <x:dxf>
      <x:font>
        <x:color rgb="FF795B13"/>
      </x:font>
      <x:fill>
        <x:patternFill>
          <x:bgColor rgb="FFFFF2CC"/>
        </x:patternFill>
      </x:fill>
    </x:dxf>
    <x:dxf>
      <x:font>
        <x:b/>
        <x:color rgb="FF8B3F2A"/>
      </x:font>
      <x:fill>
        <x:patternFill>
          <x:bgColor rgb="FFF4D7CE"/>
        </x:patternFill>
      </x:fill>
    </x:dxf>
    <x:dxf>
      <x:font>
        <x:color rgb="FF666666"/>
      </x:font>
      <x:fill>
        <x:patternFill>
          <x:bgColor rgb="FFE6E6E6"/>
        </x:patternFill>
      </x:fill>
    </x:dxf>
    <x:dxf>
      <x:font>
        <x:b/>
        <x:color rgb="FF234A2F"/>
      </x:font>
      <x:fill>
        <x:patternFill>
          <x:bgColor rgb="FFE2F0D8"/>
        </x:patternFill>
      </x:fill>
    </x:dxf>
    <x:dxf>
      <x:font>
        <x:color rgb="FF795B13"/>
      </x:font>
      <x:fill>
        <x:patternFill>
          <x:bgColor rgb="FFFFF2CC"/>
        </x:patternFill>
      </x:fill>
    </x:dxf>
    <x:dxf>
      <x:font>
        <x:b/>
        <x:color rgb="FF8B3F2A"/>
      </x:font>
      <x:fill>
        <x:patternFill>
          <x:bgColor rgb="FFF4D7CE"/>
        </x:patternFill>
      </x:fill>
    </x:dxf>
    <x:dxf>
      <x:font>
        <x:color rgb="FF666666"/>
      </x:font>
      <x:fill>
        <x:patternFill>
          <x:bgColor rgb="FFE6E6E6"/>
        </x:patternFill>
      </x:fill>
    </x:dxf>
    <x:dxf>
      <x:font>
        <x:b/>
        <x:color rgb="FF234A2F"/>
      </x:font>
      <x:fill>
        <x:patternFill>
          <x:bgColor rgb="FFE2F0D8"/>
        </x:patternFill>
      </x:fill>
    </x:dxf>
    <x:dxf>
      <x:font>
        <x:color rgb="FF795B13"/>
      </x:font>
      <x:fill>
        <x:patternFill>
          <x:bgColor rgb="FFFFF2CC"/>
        </x:patternFill>
      </x:fill>
    </x:dxf>
    <x:dxf>
      <x:font>
        <x:b/>
        <x:color rgb="FF8B3F2A"/>
      </x:font>
      <x:fill>
        <x:patternFill>
          <x:bgColor rgb="FFF4D7CE"/>
        </x:patternFill>
      </x:fill>
    </x:dxf>
    <x:dxf>
      <x:font>
        <x:color rgb="FF666666"/>
      </x:font>
      <x:fill>
        <x:patternFill>
          <x:bgColor rgb="FFE6E6E6"/>
        </x:patternFill>
      </x:fill>
    </x:dxf>
    <x:dxf>
      <x:font>
        <x:b/>
        <x:color rgb="FF234A2F"/>
      </x:font>
      <x:fill>
        <x:patternFill>
          <x:bgColor rgb="FFE2F0D8"/>
        </x:patternFill>
      </x:fill>
    </x:dxf>
    <x:dxf>
      <x:font>
        <x:color rgb="FF795B13"/>
      </x:font>
      <x:fill>
        <x:patternFill>
          <x:bgColor rgb="FFFFF2CC"/>
        </x:patternFill>
      </x:fill>
    </x:dxf>
    <x:dxf>
      <x:font>
        <x:b/>
        <x:color rgb="FF8B3F2A"/>
      </x:font>
      <x:fill>
        <x:patternFill>
          <x:bgColor rgb="FFF4D7CE"/>
        </x:patternFill>
      </x:fill>
    </x:dxf>
    <x:dxf>
      <x:font>
        <x:color rgb="FF666666"/>
      </x:font>
      <x:fill>
        <x:patternFill>
          <x:bgColor rgb="FFE6E6E6"/>
        </x:patternFill>
      </x:fill>
    </x:dxf>
    <x:dxf>
      <x:font>
        <x:b/>
        <x:color rgb="FF234A2F"/>
      </x:font>
      <x:fill>
        <x:patternFill>
          <x:bgColor rgb="FFE2F0D8"/>
        </x:patternFill>
      </x:fill>
    </x:dxf>
    <x:dxf>
      <x:font>
        <x:color rgb="FF795B13"/>
      </x:font>
      <x:fill>
        <x:patternFill>
          <x:bgColor rgb="FFFFF2CC"/>
        </x:patternFill>
      </x:fill>
    </x:dxf>
    <x:dxf>
      <x:font>
        <x:b/>
        <x:color rgb="FF8B3F2A"/>
      </x:font>
      <x:fill>
        <x:patternFill>
          <x:bgColor rgb="FFF4D7CE"/>
        </x:patternFill>
      </x:fill>
    </x:dxf>
    <x:dxf>
      <x:font>
        <x:color rgb="FF666666"/>
      </x:font>
      <x:fill>
        <x:patternFill>
          <x:bgColor rgb="FFE6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2ddd9df6f7400c" /><Relationship Type="http://schemas.openxmlformats.org/officeDocument/2006/relationships/theme" Target="/xl/theme/theme1.xml" Id="R82752ad6e1eb4fda" /><Relationship Type="http://schemas.openxmlformats.org/officeDocument/2006/relationships/sharedStrings" Target="/xl/sharedStrings.xml" Id="R00fa77afcd4748a9" /><Relationship Type="http://schemas.openxmlformats.org/officeDocument/2006/relationships/worksheet" Target="/xl/worksheets/sheet1.xml" Id="Re641956711b64158" /><Relationship Type="http://schemas.openxmlformats.org/officeDocument/2006/relationships/worksheet" Target="/xl/worksheets/sheet2.xml" Id="Rf26d848f63d74bc5" /><Relationship Type="http://schemas.openxmlformats.org/officeDocument/2006/relationships/worksheet" Target="/xl/worksheets/sheet3.xml" Id="R36897bb313204a96" /><Relationship Type="http://schemas.openxmlformats.org/officeDocument/2006/relationships/worksheet" Target="/xl/worksheets/sheet4.xml" Id="R7dba6c86a03b4a09" /><Relationship Type="http://schemas.openxmlformats.org/officeDocument/2006/relationships/worksheet" Target="/xl/worksheets/sheet5.xml" Id="R222500e8d89b4a76" /><Relationship Type="http://schemas.openxmlformats.org/officeDocument/2006/relationships/worksheet" Target="/xl/worksheets/sheet6.xml" Id="R36d5b3d5fac14339" /><Relationship Type="http://schemas.openxmlformats.org/officeDocument/2006/relationships/worksheet" Target="/xl/worksheets/sheet7.xml" Id="Rcbaffc5e24344b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cols>
    <x:col min="1" max="1" width="28" hidden="0" customWidth="1"/>
    <x:col min="2" max="2" width="18" hidden="0" customWidth="1"/>
    <x:col min="4" max="4" width="24" hidden="0" customWidth="1"/>
    <x:col min="5" max="5" width="58" hidden="0" customWidth="1"/>
    <x:col min="3" max="3" width="4" hidden="0" customWidth="1"/>
  </x:cols>
  <x:sheetData>
    <x:row r="1" ht="34" customHeight="1">
      <x:c r="A1" s="168" t="s">
        <x:v>0</x:v>
      </x:c>
      <x:c r="B1" s="168"/>
      <x:c r="C1" s="168"/>
      <x:c r="D1" s="168"/>
      <x:c r="E1" s="168"/>
      <x:c r="F1" s="15"/>
      <x:c r="G1" s="15"/>
      <x:c r="H1" s="15"/>
    </x:row>
    <x:row r="2" ht="28" customHeight="1">
      <x:c r="A2" s="43" t="s">
        <x:v>1</x:v>
      </x:c>
      <x:c r="B2" s="43"/>
      <x:c r="C2" s="43"/>
      <x:c r="D2" s="43"/>
      <x:c r="E2" s="43"/>
      <x:c r="F2" s="14"/>
      <x:c r="G2" s="14"/>
      <x:c r="H2" s="14"/>
    </x:row>
    <x:row r="3" ht="15.300000190734863" customHeight="1"/>
    <x:row r="4">
      <x:c r="A4" s="48" t="s">
        <x:v>2</x:v>
      </x:c>
      <x:c r="B4" s="48" t="s">
        <x:v>3</x:v>
      </x:c>
      <x:c r="D4" s="48" t="s">
        <x:v>4</x:v>
      </x:c>
      <x:c r="E4" s="48"/>
      <x:c r="F4" s="16"/>
      <x:c r="G4" s="16"/>
      <x:c r="H4" s="16"/>
    </x:row>
    <x:row r="5" ht="24" customHeight="1">
      <x:c r="A5" s="170" t="s">
        <x:v>5</x:v>
      </x:c>
      <x:c r="B5" s="192" t="n">
        <x:f>COUNTIF(Pacientes!$A$4:$A$203,"&gt;0")</x:f>
        <x:v>11</x:v>
      </x:c>
      <x:c r="D5" s="185" t="s">
        <x:v>6</x:v>
      </x:c>
      <x:c r="E5" s="189" t="s">
        <x:v>7</x:v>
      </x:c>
    </x:row>
    <x:row r="6" ht="24" customHeight="1">
      <x:c r="A6" s="170" t="s">
        <x:v>8</x:v>
      </x:c>
      <x:c r="B6" s="192" t="n">
        <x:f>COUNTIF(Pacientes!$G$4:$G$203,"Ativo")</x:f>
        <x:v>5</x:v>
      </x:c>
      <x:c r="D6" s="185" t="s">
        <x:v>9</x:v>
      </x:c>
      <x:c r="E6" s="189" t="s">
        <x:v>10</x:v>
      </x:c>
    </x:row>
    <x:row r="7" ht="24" customHeight="1">
      <x:c r="A7" s="170" t="s">
        <x:v>11</x:v>
      </x:c>
      <x:c r="B7" s="192" t="n">
        <x:f>COUNTIF(Planos_Contratos!$O$4:$O$203,"Em andamento")</x:f>
        <x:v>4</x:v>
      </x:c>
      <x:c r="D7" s="185" t="s">
        <x:v>12</x:v>
      </x:c>
      <x:c r="E7" s="189" t="s">
        <x:v>13</x:v>
      </x:c>
    </x:row>
    <x:row r="8" ht="24" customHeight="1">
      <x:c r="A8" s="170" t="s">
        <x:v>14</x:v>
      </x:c>
      <x:c r="B8" s="192" t="n">
        <x:f>COUNTIF(Atendimentos!$H$4:$H$403,"Realizado")</x:f>
        <x:v>179</x:v>
      </x:c>
      <x:c r="D8" s="185" t="s">
        <x:v>15</x:v>
      </x:c>
      <x:c r="E8" s="189" t="s">
        <x:v>16</x:v>
      </x:c>
    </x:row>
    <x:row r="9" ht="24" customHeight="1">
      <x:c r="A9" s="170" t="s">
        <x:v>17</x:v>
      </x:c>
      <x:c r="B9" s="194" t="n">
        <x:f>SUM(Planos_Contratos!$L$4:$L$203)</x:f>
        <x:v>31539.6</x:v>
      </x:c>
      <x:c r="D9" s="185" t="s">
        <x:v>18</x:v>
      </x:c>
      <x:c r="E9" s="189" t="s">
        <x:v>19</x:v>
      </x:c>
    </x:row>
    <x:row r="10" ht="24" customHeight="1">
      <x:c r="A10" s="170" t="s">
        <x:v>20</x:v>
      </x:c>
      <x:c r="B10" s="194" t="n">
        <x:f>SUMIFS(Recebimentos!$I$4:$I$403,Recebimentos!$M$4:$M$403,"Recebido")</x:f>
        <x:v>28888.109999999993</x:v>
      </x:c>
      <x:c r="D10" s="185" t="s">
        <x:v>21</x:v>
      </x:c>
      <x:c r="E10" s="189" t="str">
        <x:v>Verde-claro = preencher manualmente | Cinza-esverdeado = automático.</x:v>
      </x:c>
    </x:row>
    <x:row r="11" ht="24" customHeight="1">
      <x:c r="A11" s="170" t="s">
        <x:v>22</x:v>
      </x:c>
      <x:c r="B11" s="194" t="n">
        <x:f>SUMIFS(Despesas!$H$4:$H$403,Despesas!$I$4:$I$403,"Pago")</x:f>
        <x:v>3987.78</x:v>
      </x:c>
    </x:row>
    <x:row r="12" ht="24" customHeight="1">
      <x:c r="A12" s="170" t="s">
        <x:v>23</x:v>
      </x:c>
      <x:c r="B12" s="194" t="n">
        <x:f>B10-B11</x:f>
        <x:v>24900.329999999994</x:v>
      </x:c>
    </x:row>
    <x:row r="13" ht="24" customHeight="1">
      <x:c r="A13" s="170" t="s">
        <x:v>24</x:v>
      </x:c>
      <x:c r="B13" s="192" t="n">
        <x:f>SUM(Planos_Contratos!$Q$4:$Q$203)</x:f>
        <x:v>20</x:v>
      </x:c>
    </x:row>
  </x:sheetData>
  <x:mergeCells>
    <x:mergeCell ref="A2:H2"/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11" hidden="0" customWidth="1"/>
    <x:col min="2" max="2" width="24" hidden="0" customWidth="1"/>
    <x:col min="3" max="3" width="16" hidden="0" customWidth="1"/>
    <x:col min="4" max="4" width="14" hidden="0" customWidth="1"/>
    <x:col min="5" max="6" width="20" customWidth="1"/>
    <x:col min="7" max="7" width="19" hidden="0" customWidth="1"/>
    <x:col min="8" max="8" width="30" hidden="0" customWidth="1"/>
    <x:col min="5" max="5" width="20" hidden="0" customWidth="1"/>
    <x:col min="6" max="6" width="18" hidden="0" customWidth="1"/>
  </x:cols>
  <x:sheetData>
    <x:row r="1" ht="30" customHeight="1">
      <x:c r="A1" s="38" t="s">
        <x:v>25</x:v>
      </x:c>
      <x:c r="B1" s="38"/>
      <x:c r="C1" s="38"/>
      <x:c r="D1" s="38"/>
      <x:c r="E1" s="38"/>
      <x:c r="F1" s="38"/>
      <x:c r="G1" s="38"/>
      <x:c r="H1" s="38"/>
    </x:row>
    <x:row r="2" ht="24" customHeight="1">
      <x:c r="A2" s="44" t="str">
        <x:v>Preencha as células em verde-claro. O ID e os campos automáticos aparecem em cinza-esverdeado.</x:v>
      </x:c>
      <x:c r="B2" s="44"/>
      <x:c r="C2" s="44"/>
      <x:c r="D2" s="44"/>
      <x:c r="E2" s="44"/>
      <x:c r="F2" s="44"/>
      <x:c r="G2" s="44"/>
      <x:c r="H2" s="44"/>
    </x:row>
    <x:row r="3" ht="30" customHeight="1">
      <x:c r="A3" s="49" t="s">
        <x:v>26</x:v>
      </x:c>
      <x:c r="B3" s="49" t="s">
        <x:v>27</x:v>
      </x:c>
      <x:c r="C3" s="49" t="s">
        <x:v>28</x:v>
      </x:c>
      <x:c r="D3" s="49" t="s">
        <x:v>29</x:v>
      </x:c>
      <x:c r="E3" s="49" t="s">
        <x:v>30</x:v>
      </x:c>
      <x:c r="F3" s="49" t="s">
        <x:v>31</x:v>
      </x:c>
      <x:c r="G3" s="49" t="s">
        <x:v>32</x:v>
      </x:c>
      <x:c r="H3" s="49" t="s">
        <x:v>33</x:v>
      </x:c>
    </x:row>
    <x:row r="4" ht="20" customHeight="1">
      <x:c r="A4" s="68" t="n">
        <x:f t="shared" ref="A4:A35" si="0">IF(B4="","",ROW()-3)</x:f>
        <x:v>1</x:v>
      </x:c>
      <x:c r="B4" s="64" t="str">
        <x:v>Paciente 001</x:v>
      </x:c>
      <x:c r="C4" s="223" t="str">
        <x:v>00000000001</x:v>
      </x:c>
      <x:c r="D4" s="72">
        <x:v>46269</x:v>
      </x:c>
      <x:c r="E4" s="64" t="s">
        <x:v>34</x:v>
      </x:c>
      <x:c r="F4" s="64" t="s">
        <x:v>35</x:v>
      </x:c>
      <x:c r="G4" s="64" t="s">
        <x:v>36</x:v>
      </x:c>
      <x:c r="H4" s="64"/>
    </x:row>
    <x:row r="5" ht="20" customHeight="1">
      <x:c r="A5" s="68">
        <x:f t="shared" si="0"/>
        <x:v>2</x:v>
      </x:c>
      <x:c r="B5" s="64" t="str">
        <x:v>Paciente 002</x:v>
      </x:c>
      <x:c r="C5" s="223" t="str">
        <x:v>00000000002</x:v>
      </x:c>
      <x:c r="D5" s="72">
        <x:v>46268</x:v>
      </x:c>
      <x:c r="E5" s="64" t="s">
        <x:v>37</x:v>
      </x:c>
      <x:c r="F5" s="64" t="s">
        <x:v>38</x:v>
      </x:c>
      <x:c r="G5" s="64" t="s">
        <x:v>36</x:v>
      </x:c>
      <x:c r="H5" s="64"/>
    </x:row>
    <x:row r="6" ht="20" customHeight="1">
      <x:c r="A6" s="68">
        <x:f t="shared" si="0"/>
        <x:v>3</x:v>
      </x:c>
      <x:c r="B6" s="64" t="str">
        <x:v>Paciente 003</x:v>
      </x:c>
      <x:c r="C6" s="223" t="str">
        <x:v>00000000003</x:v>
      </x:c>
      <x:c r="D6" s="72">
        <x:v>45901</x:v>
      </x:c>
      <x:c r="E6" s="64" t="s">
        <x:v>34</x:v>
      </x:c>
      <x:c r="F6" s="64" t="s">
        <x:v>39</x:v>
      </x:c>
      <x:c r="G6" s="64" t="s">
        <x:v>40</x:v>
      </x:c>
      <x:c r="H6" s="64"/>
    </x:row>
    <x:row r="7" ht="20" customHeight="1">
      <x:c r="A7" s="68">
        <x:f t="shared" si="0"/>
        <x:v>4</x:v>
      </x:c>
      <x:c r="B7" s="64" t="str">
        <x:v>Paciente 004</x:v>
      </x:c>
      <x:c r="C7" s="223" t="str">
        <x:v>00000000004</x:v>
      </x:c>
      <x:c r="D7" s="72">
        <x:v>45772</x:v>
      </x:c>
      <x:c r="E7" s="64" t="s">
        <x:v>34</x:v>
      </x:c>
      <x:c r="F7" s="64" t="s">
        <x:v>41</x:v>
      </x:c>
      <x:c r="G7" s="64" t="s">
        <x:v>40</x:v>
      </x:c>
      <x:c r="H7" s="64"/>
    </x:row>
    <x:row r="8" ht="20" customHeight="1">
      <x:c r="A8" s="68">
        <x:f t="shared" si="0"/>
        <x:v>5</x:v>
      </x:c>
      <x:c r="B8" s="64" t="str">
        <x:v>Paciente 005</x:v>
      </x:c>
      <x:c r="C8" s="223" t="str">
        <x:v>00000000005</x:v>
      </x:c>
      <x:c r="D8" s="72">
        <x:v>45853</x:v>
      </x:c>
      <x:c r="E8" s="64" t="s">
        <x:v>34</x:v>
      </x:c>
      <x:c r="F8" s="64" t="s">
        <x:v>38</x:v>
      </x:c>
      <x:c r="G8" s="64" t="s">
        <x:v>42</x:v>
      </x:c>
      <x:c r="H8" s="64"/>
    </x:row>
    <x:row r="9" ht="20" customHeight="1">
      <x:c r="A9" s="68">
        <x:f t="shared" si="0"/>
        <x:v>6</x:v>
      </x:c>
      <x:c r="B9" s="64" t="str">
        <x:v>Paciente 006</x:v>
      </x:c>
      <x:c r="C9" s="223" t="str">
        <x:v>00000000006</x:v>
      </x:c>
      <x:c r="D9" s="72">
        <x:v>46249</x:v>
      </x:c>
      <x:c r="E9" s="64" t="s">
        <x:v>37</x:v>
      </x:c>
      <x:c r="F9" s="64" t="s">
        <x:v>35</x:v>
      </x:c>
      <x:c r="G9" s="64" t="s">
        <x:v>40</x:v>
      </x:c>
      <x:c r="H9" s="64"/>
    </x:row>
    <x:row r="10" ht="20" customHeight="1">
      <x:c r="A10" s="68">
        <x:f t="shared" si="0"/>
        <x:v>7</x:v>
      </x:c>
      <x:c r="B10" s="64" t="str">
        <x:v>Paciente 007</x:v>
      </x:c>
      <x:c r="C10" s="223" t="str">
        <x:v>00000000007</x:v>
      </x:c>
      <x:c r="D10" s="72">
        <x:v>45721</x:v>
      </x:c>
      <x:c r="E10" s="64" t="s">
        <x:v>34</x:v>
      </x:c>
      <x:c r="F10" s="64" t="s">
        <x:v>38</x:v>
      </x:c>
      <x:c r="G10" s="64" t="s">
        <x:v>43</x:v>
      </x:c>
      <x:c r="H10" s="64"/>
    </x:row>
    <x:row r="11" ht="20" customHeight="1">
      <x:c r="A11" s="68">
        <x:f t="shared" si="0"/>
        <x:v>8</x:v>
      </x:c>
      <x:c r="B11" s="64" t="str">
        <x:v>Paciente 008</x:v>
      </x:c>
      <x:c r="C11" s="223" t="str">
        <x:v>00000000008</x:v>
      </x:c>
      <x:c r="D11" s="72">
        <x:v>45802</x:v>
      </x:c>
      <x:c r="E11" s="64" t="s">
        <x:v>34</x:v>
      </x:c>
      <x:c r="F11" s="64" t="s">
        <x:v>38</x:v>
      </x:c>
      <x:c r="G11" s="64" t="s">
        <x:v>40</x:v>
      </x:c>
      <x:c r="H11" s="64"/>
    </x:row>
    <x:row r="12" ht="20" customHeight="1">
      <x:c r="A12" s="68">
        <x:f t="shared" si="0"/>
        <x:v>9</x:v>
      </x:c>
      <x:c r="B12" s="64" t="str">
        <x:v>Paciente 009</x:v>
      </x:c>
      <x:c r="C12" s="223" t="str">
        <x:v>00000000009</x:v>
      </x:c>
      <x:c r="D12" s="72">
        <x:v>46082</x:v>
      </x:c>
      <x:c r="E12" s="64" t="s">
        <x:v>37</x:v>
      </x:c>
      <x:c r="F12" s="64" t="s">
        <x:v>39</x:v>
      </x:c>
      <x:c r="G12" s="64" t="s">
        <x:v>42</x:v>
      </x:c>
      <x:c r="H12" s="64"/>
    </x:row>
    <x:row r="13" ht="20" customHeight="1">
      <x:c r="A13" s="68">
        <x:f t="shared" si="0"/>
        <x:v>10</x:v>
      </x:c>
      <x:c r="B13" s="64" t="str">
        <x:v>Paciente 010</x:v>
      </x:c>
      <x:c r="C13" s="223" t="str">
        <x:v>00000000010</x:v>
      </x:c>
      <x:c r="D13" s="72">
        <x:v>46140</x:v>
      </x:c>
      <x:c r="E13" s="64" t="s">
        <x:v>34</x:v>
      </x:c>
      <x:c r="F13" s="64" t="s">
        <x:v>35</x:v>
      </x:c>
      <x:c r="G13" s="64" t="s">
        <x:v>40</x:v>
      </x:c>
      <x:c r="H13" s="64"/>
    </x:row>
    <x:row r="14" ht="20" customHeight="1">
      <x:c r="A14" s="68">
        <x:f t="shared" si="0"/>
        <x:v>11</x:v>
      </x:c>
      <x:c r="B14" s="64" t="str">
        <x:v>Paciente 011</x:v>
      </x:c>
      <x:c r="C14" s="223" t="str">
        <x:v>00000000011</x:v>
      </x:c>
      <x:c r="D14" s="72">
        <x:v>46267</x:v>
      </x:c>
      <x:c r="E14" s="64" t="s">
        <x:v>34</x:v>
      </x:c>
      <x:c r="F14" s="64" t="s">
        <x:v>38</x:v>
      </x:c>
      <x:c r="G14" s="64" t="s">
        <x:v>36</x:v>
      </x:c>
      <x:c r="H14" s="64"/>
    </x:row>
    <x:row r="15" ht="20" customHeight="1">
      <x:c r="A15" s="68" t="str">
        <x:f t="shared" si="0"/>
      </x:c>
      <x:c r="B15" s="64"/>
      <x:c r="C15" s="70"/>
      <x:c r="D15" s="72"/>
      <x:c r="E15" s="64"/>
      <x:c r="F15" s="64"/>
      <x:c r="G15" s="64"/>
      <x:c r="H15" s="64"/>
    </x:row>
    <x:row r="16" ht="20" customHeight="1">
      <x:c r="A16" s="68" t="str">
        <x:f t="shared" si="0"/>
      </x:c>
      <x:c r="B16" s="64"/>
      <x:c r="C16" s="70"/>
      <x:c r="D16" s="72"/>
      <x:c r="E16" s="64"/>
      <x:c r="F16" s="64"/>
      <x:c r="G16" s="64"/>
      <x:c r="H16" s="64"/>
    </x:row>
    <x:row r="17" ht="20" customHeight="1">
      <x:c r="A17" s="68" t="str">
        <x:f t="shared" si="0"/>
      </x:c>
      <x:c r="B17" s="64"/>
      <x:c r="C17" s="70"/>
      <x:c r="D17" s="72"/>
      <x:c r="E17" s="64"/>
      <x:c r="F17" s="64"/>
      <x:c r="G17" s="64"/>
      <x:c r="H17" s="64"/>
    </x:row>
    <x:row r="18" ht="20" customHeight="1">
      <x:c r="A18" s="68" t="str">
        <x:f t="shared" si="0"/>
      </x:c>
      <x:c r="B18" s="64"/>
      <x:c r="C18" s="70"/>
      <x:c r="D18" s="72"/>
      <x:c r="E18" s="64"/>
      <x:c r="F18" s="64"/>
      <x:c r="G18" s="64"/>
      <x:c r="H18" s="64"/>
    </x:row>
    <x:row r="19" ht="20" customHeight="1">
      <x:c r="A19" s="68" t="str">
        <x:f t="shared" si="0"/>
      </x:c>
      <x:c r="B19" s="64"/>
      <x:c r="C19" s="70"/>
      <x:c r="D19" s="72"/>
      <x:c r="E19" s="64"/>
      <x:c r="F19" s="64"/>
      <x:c r="G19" s="64"/>
      <x:c r="H19" s="64"/>
    </x:row>
    <x:row r="20" ht="20" customHeight="1">
      <x:c r="A20" s="68" t="str">
        <x:f t="shared" si="0"/>
      </x:c>
      <x:c r="B20" s="64"/>
      <x:c r="C20" s="70"/>
      <x:c r="D20" s="72"/>
      <x:c r="E20" s="64"/>
      <x:c r="F20" s="64"/>
      <x:c r="G20" s="64"/>
      <x:c r="H20" s="64"/>
    </x:row>
    <x:row r="21" ht="20" customHeight="1">
      <x:c r="A21" s="68" t="str">
        <x:f t="shared" si="0"/>
      </x:c>
      <x:c r="B21" s="64"/>
      <x:c r="C21" s="70"/>
      <x:c r="D21" s="72"/>
      <x:c r="E21" s="64"/>
      <x:c r="F21" s="64"/>
      <x:c r="G21" s="64"/>
      <x:c r="H21" s="64"/>
    </x:row>
    <x:row r="22" ht="20" customHeight="1">
      <x:c r="A22" s="68" t="str">
        <x:f t="shared" si="0"/>
      </x:c>
      <x:c r="B22" s="64"/>
      <x:c r="C22" s="70"/>
      <x:c r="D22" s="72"/>
      <x:c r="E22" s="64"/>
      <x:c r="F22" s="64"/>
      <x:c r="G22" s="64"/>
      <x:c r="H22" s="64"/>
    </x:row>
    <x:row r="23" ht="20" customHeight="1">
      <x:c r="A23" s="68" t="str">
        <x:f t="shared" si="0"/>
      </x:c>
      <x:c r="B23" s="64"/>
      <x:c r="C23" s="70"/>
      <x:c r="D23" s="72"/>
      <x:c r="E23" s="64"/>
      <x:c r="F23" s="64"/>
      <x:c r="G23" s="64"/>
      <x:c r="H23" s="64"/>
    </x:row>
    <x:row r="24" ht="20" customHeight="1">
      <x:c r="A24" s="68" t="str">
        <x:f t="shared" si="0"/>
      </x:c>
      <x:c r="B24" s="64"/>
      <x:c r="C24" s="70"/>
      <x:c r="D24" s="72"/>
      <x:c r="E24" s="64"/>
      <x:c r="F24" s="64"/>
      <x:c r="G24" s="64"/>
      <x:c r="H24" s="64"/>
    </x:row>
    <x:row r="25" ht="20" customHeight="1">
      <x:c r="A25" s="68" t="str">
        <x:f t="shared" si="0"/>
      </x:c>
      <x:c r="B25" s="64"/>
      <x:c r="C25" s="70"/>
      <x:c r="D25" s="72"/>
      <x:c r="E25" s="64"/>
      <x:c r="F25" s="64"/>
      <x:c r="G25" s="64"/>
      <x:c r="H25" s="64"/>
    </x:row>
    <x:row r="26" ht="20" customHeight="1">
      <x:c r="A26" s="68" t="str">
        <x:f t="shared" si="0"/>
      </x:c>
      <x:c r="B26" s="64"/>
      <x:c r="C26" s="70"/>
      <x:c r="D26" s="72"/>
      <x:c r="E26" s="64"/>
      <x:c r="F26" s="64"/>
      <x:c r="G26" s="64"/>
      <x:c r="H26" s="64"/>
    </x:row>
    <x:row r="27" ht="20" customHeight="1">
      <x:c r="A27" s="68" t="str">
        <x:f t="shared" si="0"/>
      </x:c>
      <x:c r="B27" s="64"/>
      <x:c r="C27" s="70"/>
      <x:c r="D27" s="72"/>
      <x:c r="E27" s="64"/>
      <x:c r="F27" s="64"/>
      <x:c r="G27" s="64"/>
      <x:c r="H27" s="64"/>
    </x:row>
    <x:row r="28" ht="20" customHeight="1">
      <x:c r="A28" s="68" t="str">
        <x:f t="shared" si="0"/>
      </x:c>
      <x:c r="B28" s="64"/>
      <x:c r="C28" s="70"/>
      <x:c r="D28" s="72"/>
      <x:c r="E28" s="64"/>
      <x:c r="F28" s="64"/>
      <x:c r="G28" s="64"/>
      <x:c r="H28" s="64"/>
    </x:row>
    <x:row r="29" ht="20" customHeight="1">
      <x:c r="A29" s="68" t="str">
        <x:f t="shared" si="0"/>
      </x:c>
      <x:c r="B29" s="64"/>
      <x:c r="C29" s="70"/>
      <x:c r="D29" s="72"/>
      <x:c r="E29" s="64"/>
      <x:c r="F29" s="64"/>
      <x:c r="G29" s="64"/>
      <x:c r="H29" s="64"/>
    </x:row>
    <x:row r="30" ht="20" customHeight="1">
      <x:c r="A30" s="68" t="str">
        <x:f t="shared" si="0"/>
      </x:c>
      <x:c r="B30" s="64"/>
      <x:c r="C30" s="70"/>
      <x:c r="D30" s="72"/>
      <x:c r="E30" s="64"/>
      <x:c r="F30" s="64"/>
      <x:c r="G30" s="64"/>
      <x:c r="H30" s="64"/>
    </x:row>
    <x:row r="31" ht="20" customHeight="1">
      <x:c r="A31" s="68" t="str">
        <x:f t="shared" si="0"/>
      </x:c>
      <x:c r="B31" s="64"/>
      <x:c r="C31" s="70"/>
      <x:c r="D31" s="72"/>
      <x:c r="E31" s="64"/>
      <x:c r="F31" s="64"/>
      <x:c r="G31" s="64"/>
      <x:c r="H31" s="64"/>
    </x:row>
    <x:row r="32" ht="20" customHeight="1">
      <x:c r="A32" s="68" t="str">
        <x:f t="shared" si="0"/>
      </x:c>
      <x:c r="B32" s="64"/>
      <x:c r="C32" s="70"/>
      <x:c r="D32" s="72"/>
      <x:c r="E32" s="64"/>
      <x:c r="F32" s="64"/>
      <x:c r="G32" s="64"/>
      <x:c r="H32" s="64"/>
    </x:row>
    <x:row r="33" ht="20" customHeight="1">
      <x:c r="A33" s="68" t="str">
        <x:f t="shared" si="0"/>
      </x:c>
      <x:c r="B33" s="64"/>
      <x:c r="C33" s="70"/>
      <x:c r="D33" s="72"/>
      <x:c r="E33" s="64"/>
      <x:c r="F33" s="64"/>
      <x:c r="G33" s="64"/>
      <x:c r="H33" s="64"/>
    </x:row>
    <x:row r="34" ht="20" customHeight="1">
      <x:c r="A34" s="68" t="str">
        <x:f t="shared" si="0"/>
      </x:c>
      <x:c r="B34" s="64"/>
      <x:c r="C34" s="70"/>
      <x:c r="D34" s="72"/>
      <x:c r="E34" s="64"/>
      <x:c r="F34" s="64"/>
      <x:c r="G34" s="64"/>
      <x:c r="H34" s="64"/>
    </x:row>
    <x:row r="35" ht="20" customHeight="1">
      <x:c r="A35" s="68" t="str">
        <x:f t="shared" si="0"/>
      </x:c>
      <x:c r="B35" s="64"/>
      <x:c r="C35" s="70"/>
      <x:c r="D35" s="72"/>
      <x:c r="E35" s="64"/>
      <x:c r="F35" s="64"/>
      <x:c r="G35" s="64"/>
      <x:c r="H35" s="64"/>
    </x:row>
    <x:row r="36" ht="20" customHeight="1">
      <x:c r="A36" s="68" t="str">
        <x:f t="shared" ref="A36:A67" si="1">IF(B36="","",ROW()-3)</x:f>
      </x:c>
      <x:c r="B36" s="64"/>
      <x:c r="C36" s="70"/>
      <x:c r="D36" s="72"/>
      <x:c r="E36" s="64"/>
      <x:c r="F36" s="64"/>
      <x:c r="G36" s="64"/>
      <x:c r="H36" s="64"/>
    </x:row>
    <x:row r="37" ht="20" customHeight="1">
      <x:c r="A37" s="68" t="str">
        <x:f t="shared" si="1"/>
      </x:c>
      <x:c r="B37" s="64"/>
      <x:c r="C37" s="70"/>
      <x:c r="D37" s="72"/>
      <x:c r="E37" s="64"/>
      <x:c r="F37" s="64"/>
      <x:c r="G37" s="64"/>
      <x:c r="H37" s="64"/>
    </x:row>
    <x:row r="38" ht="20" customHeight="1">
      <x:c r="A38" s="68" t="str">
        <x:f t="shared" si="1"/>
      </x:c>
      <x:c r="B38" s="64"/>
      <x:c r="C38" s="70"/>
      <x:c r="D38" s="72"/>
      <x:c r="E38" s="64"/>
      <x:c r="F38" s="64"/>
      <x:c r="G38" s="64"/>
      <x:c r="H38" s="64"/>
    </x:row>
    <x:row r="39" ht="20" customHeight="1">
      <x:c r="A39" s="68" t="str">
        <x:f t="shared" si="1"/>
      </x:c>
      <x:c r="B39" s="64"/>
      <x:c r="C39" s="70"/>
      <x:c r="D39" s="72"/>
      <x:c r="E39" s="64"/>
      <x:c r="F39" s="64"/>
      <x:c r="G39" s="64"/>
      <x:c r="H39" s="64"/>
    </x:row>
    <x:row r="40" ht="20" customHeight="1">
      <x:c r="A40" s="68" t="str">
        <x:f t="shared" si="1"/>
      </x:c>
      <x:c r="B40" s="64"/>
      <x:c r="C40" s="70"/>
      <x:c r="D40" s="72"/>
      <x:c r="E40" s="64"/>
      <x:c r="F40" s="64"/>
      <x:c r="G40" s="64"/>
      <x:c r="H40" s="64"/>
    </x:row>
    <x:row r="41" ht="20" customHeight="1">
      <x:c r="A41" s="68" t="str">
        <x:f t="shared" si="1"/>
      </x:c>
      <x:c r="B41" s="64"/>
      <x:c r="C41" s="70"/>
      <x:c r="D41" s="72"/>
      <x:c r="E41" s="64"/>
      <x:c r="F41" s="64"/>
      <x:c r="G41" s="64"/>
      <x:c r="H41" s="64"/>
    </x:row>
    <x:row r="42" ht="20" customHeight="1">
      <x:c r="A42" s="68" t="str">
        <x:f t="shared" si="1"/>
      </x:c>
      <x:c r="B42" s="64"/>
      <x:c r="C42" s="70"/>
      <x:c r="D42" s="72"/>
      <x:c r="E42" s="64"/>
      <x:c r="F42" s="64"/>
      <x:c r="G42" s="64"/>
      <x:c r="H42" s="64"/>
    </x:row>
    <x:row r="43" ht="20" customHeight="1">
      <x:c r="A43" s="68" t="str">
        <x:f t="shared" si="1"/>
      </x:c>
      <x:c r="B43" s="64"/>
      <x:c r="C43" s="70"/>
      <x:c r="D43" s="72"/>
      <x:c r="E43" s="64"/>
      <x:c r="F43" s="64"/>
      <x:c r="G43" s="64"/>
      <x:c r="H43" s="64"/>
    </x:row>
    <x:row r="44" ht="20" customHeight="1">
      <x:c r="A44" s="68" t="str">
        <x:f t="shared" si="1"/>
      </x:c>
      <x:c r="B44" s="64"/>
      <x:c r="C44" s="70"/>
      <x:c r="D44" s="72"/>
      <x:c r="E44" s="64"/>
      <x:c r="F44" s="64"/>
      <x:c r="G44" s="64"/>
      <x:c r="H44" s="64"/>
    </x:row>
    <x:row r="45" ht="20" customHeight="1">
      <x:c r="A45" s="68" t="str">
        <x:f t="shared" si="1"/>
      </x:c>
      <x:c r="B45" s="64"/>
      <x:c r="C45" s="70"/>
      <x:c r="D45" s="72"/>
      <x:c r="E45" s="64"/>
      <x:c r="F45" s="64"/>
      <x:c r="G45" s="64"/>
      <x:c r="H45" s="64"/>
    </x:row>
    <x:row r="46" ht="20" customHeight="1">
      <x:c r="A46" s="68" t="str">
        <x:f t="shared" si="1"/>
      </x:c>
      <x:c r="B46" s="64"/>
      <x:c r="C46" s="70"/>
      <x:c r="D46" s="72"/>
      <x:c r="E46" s="64"/>
      <x:c r="F46" s="64"/>
      <x:c r="G46" s="64"/>
      <x:c r="H46" s="64"/>
    </x:row>
    <x:row r="47" ht="20" customHeight="1">
      <x:c r="A47" s="68" t="str">
        <x:f t="shared" si="1"/>
      </x:c>
      <x:c r="B47" s="64"/>
      <x:c r="C47" s="70"/>
      <x:c r="D47" s="72"/>
      <x:c r="E47" s="64"/>
      <x:c r="F47" s="64"/>
      <x:c r="G47" s="64"/>
      <x:c r="H47" s="64"/>
    </x:row>
    <x:row r="48" ht="20" customHeight="1">
      <x:c r="A48" s="68" t="str">
        <x:f t="shared" si="1"/>
      </x:c>
      <x:c r="B48" s="64"/>
      <x:c r="C48" s="70"/>
      <x:c r="D48" s="72"/>
      <x:c r="E48" s="64"/>
      <x:c r="F48" s="64"/>
      <x:c r="G48" s="64"/>
      <x:c r="H48" s="64"/>
    </x:row>
    <x:row r="49" ht="20" customHeight="1">
      <x:c r="A49" s="68" t="str">
        <x:f t="shared" si="1"/>
      </x:c>
      <x:c r="B49" s="64"/>
      <x:c r="C49" s="70"/>
      <x:c r="D49" s="72"/>
      <x:c r="E49" s="64"/>
      <x:c r="F49" s="64"/>
      <x:c r="G49" s="64"/>
      <x:c r="H49" s="64"/>
    </x:row>
    <x:row r="50" ht="20" customHeight="1">
      <x:c r="A50" s="68" t="str">
        <x:f t="shared" si="1"/>
      </x:c>
      <x:c r="B50" s="64"/>
      <x:c r="C50" s="70"/>
      <x:c r="D50" s="72"/>
      <x:c r="E50" s="64"/>
      <x:c r="F50" s="64"/>
      <x:c r="G50" s="64"/>
      <x:c r="H50" s="64"/>
    </x:row>
    <x:row r="51" ht="20" customHeight="1">
      <x:c r="A51" s="68" t="str">
        <x:f t="shared" si="1"/>
      </x:c>
      <x:c r="B51" s="64"/>
      <x:c r="C51" s="70"/>
      <x:c r="D51" s="72"/>
      <x:c r="E51" s="64"/>
      <x:c r="F51" s="64"/>
      <x:c r="G51" s="64"/>
      <x:c r="H51" s="64"/>
    </x:row>
    <x:row r="52" ht="20" customHeight="1">
      <x:c r="A52" s="68" t="str">
        <x:f t="shared" si="1"/>
      </x:c>
      <x:c r="B52" s="64"/>
      <x:c r="C52" s="70"/>
      <x:c r="D52" s="72"/>
      <x:c r="E52" s="64"/>
      <x:c r="F52" s="64"/>
      <x:c r="G52" s="64"/>
      <x:c r="H52" s="64"/>
    </x:row>
    <x:row r="53" ht="20" customHeight="1">
      <x:c r="A53" s="68" t="str">
        <x:f t="shared" si="1"/>
      </x:c>
      <x:c r="B53" s="64"/>
      <x:c r="C53" s="70"/>
      <x:c r="D53" s="72"/>
      <x:c r="E53" s="64"/>
      <x:c r="F53" s="64"/>
      <x:c r="G53" s="64"/>
      <x:c r="H53" s="64"/>
    </x:row>
    <x:row r="54" ht="20" customHeight="1">
      <x:c r="A54" s="68" t="str">
        <x:f t="shared" si="1"/>
      </x:c>
      <x:c r="B54" s="64"/>
      <x:c r="C54" s="70"/>
      <x:c r="D54" s="72"/>
      <x:c r="E54" s="64"/>
      <x:c r="F54" s="64"/>
      <x:c r="G54" s="64"/>
      <x:c r="H54" s="64"/>
    </x:row>
    <x:row r="55" ht="20" customHeight="1">
      <x:c r="A55" s="68" t="str">
        <x:f t="shared" si="1"/>
      </x:c>
      <x:c r="B55" s="64"/>
      <x:c r="C55" s="70"/>
      <x:c r="D55" s="72"/>
      <x:c r="E55" s="64"/>
      <x:c r="F55" s="64"/>
      <x:c r="G55" s="64"/>
      <x:c r="H55" s="64"/>
    </x:row>
    <x:row r="56" ht="20" customHeight="1">
      <x:c r="A56" s="68" t="str">
        <x:f t="shared" si="1"/>
      </x:c>
      <x:c r="B56" s="64"/>
      <x:c r="C56" s="70"/>
      <x:c r="D56" s="72"/>
      <x:c r="E56" s="64"/>
      <x:c r="F56" s="64"/>
      <x:c r="G56" s="64"/>
      <x:c r="H56" s="64"/>
    </x:row>
    <x:row r="57" ht="20" customHeight="1">
      <x:c r="A57" s="68" t="str">
        <x:f t="shared" si="1"/>
      </x:c>
      <x:c r="B57" s="64"/>
      <x:c r="C57" s="70"/>
      <x:c r="D57" s="72"/>
      <x:c r="E57" s="64"/>
      <x:c r="F57" s="64"/>
      <x:c r="G57" s="64"/>
      <x:c r="H57" s="64"/>
    </x:row>
    <x:row r="58" ht="20" customHeight="1">
      <x:c r="A58" s="68" t="str">
        <x:f t="shared" si="1"/>
      </x:c>
      <x:c r="B58" s="64"/>
      <x:c r="C58" s="70"/>
      <x:c r="D58" s="72"/>
      <x:c r="E58" s="64"/>
      <x:c r="F58" s="64"/>
      <x:c r="G58" s="64"/>
      <x:c r="H58" s="64"/>
    </x:row>
    <x:row r="59" ht="20" customHeight="1">
      <x:c r="A59" s="68" t="str">
        <x:f t="shared" si="1"/>
      </x:c>
      <x:c r="B59" s="64"/>
      <x:c r="C59" s="70"/>
      <x:c r="D59" s="72"/>
      <x:c r="E59" s="64"/>
      <x:c r="F59" s="64"/>
      <x:c r="G59" s="64"/>
      <x:c r="H59" s="64"/>
    </x:row>
    <x:row r="60" ht="20" customHeight="1">
      <x:c r="A60" s="68" t="str">
        <x:f t="shared" si="1"/>
      </x:c>
      <x:c r="B60" s="64"/>
      <x:c r="C60" s="70"/>
      <x:c r="D60" s="72"/>
      <x:c r="E60" s="64"/>
      <x:c r="F60" s="64"/>
      <x:c r="G60" s="64"/>
      <x:c r="H60" s="64"/>
    </x:row>
    <x:row r="61" ht="20" customHeight="1">
      <x:c r="A61" s="68" t="str">
        <x:f t="shared" si="1"/>
      </x:c>
      <x:c r="B61" s="64"/>
      <x:c r="C61" s="70"/>
      <x:c r="D61" s="72"/>
      <x:c r="E61" s="64"/>
      <x:c r="F61" s="64"/>
      <x:c r="G61" s="64"/>
      <x:c r="H61" s="64"/>
    </x:row>
    <x:row r="62" ht="20" customHeight="1">
      <x:c r="A62" s="68" t="str">
        <x:f t="shared" si="1"/>
      </x:c>
      <x:c r="B62" s="64"/>
      <x:c r="C62" s="70"/>
      <x:c r="D62" s="72"/>
      <x:c r="E62" s="64"/>
      <x:c r="F62" s="64"/>
      <x:c r="G62" s="64"/>
      <x:c r="H62" s="64"/>
    </x:row>
    <x:row r="63" ht="20" customHeight="1">
      <x:c r="A63" s="68" t="str">
        <x:f t="shared" si="1"/>
      </x:c>
      <x:c r="B63" s="64"/>
      <x:c r="C63" s="70"/>
      <x:c r="D63" s="72"/>
      <x:c r="E63" s="64"/>
      <x:c r="F63" s="64"/>
      <x:c r="G63" s="64"/>
      <x:c r="H63" s="64"/>
    </x:row>
    <x:row r="64" ht="20" customHeight="1">
      <x:c r="A64" s="68" t="str">
        <x:f t="shared" si="1"/>
      </x:c>
      <x:c r="B64" s="64"/>
      <x:c r="C64" s="70"/>
      <x:c r="D64" s="72"/>
      <x:c r="E64" s="64"/>
      <x:c r="F64" s="64"/>
      <x:c r="G64" s="64"/>
      <x:c r="H64" s="64"/>
    </x:row>
    <x:row r="65" ht="20" customHeight="1">
      <x:c r="A65" s="68" t="str">
        <x:f t="shared" si="1"/>
      </x:c>
      <x:c r="B65" s="64"/>
      <x:c r="C65" s="70"/>
      <x:c r="D65" s="72"/>
      <x:c r="E65" s="64"/>
      <x:c r="F65" s="64"/>
      <x:c r="G65" s="64"/>
      <x:c r="H65" s="64"/>
    </x:row>
    <x:row r="66" ht="20" customHeight="1">
      <x:c r="A66" s="68" t="str">
        <x:f t="shared" si="1"/>
      </x:c>
      <x:c r="B66" s="64"/>
      <x:c r="C66" s="70"/>
      <x:c r="D66" s="72"/>
      <x:c r="E66" s="64"/>
      <x:c r="F66" s="64"/>
      <x:c r="G66" s="64"/>
      <x:c r="H66" s="64"/>
    </x:row>
    <x:row r="67" ht="20" customHeight="1">
      <x:c r="A67" s="68" t="str">
        <x:f t="shared" si="1"/>
      </x:c>
      <x:c r="B67" s="64"/>
      <x:c r="C67" s="70"/>
      <x:c r="D67" s="72"/>
      <x:c r="E67" s="64"/>
      <x:c r="F67" s="64"/>
      <x:c r="G67" s="64"/>
      <x:c r="H67" s="64"/>
    </x:row>
    <x:row r="68" ht="20" customHeight="1">
      <x:c r="A68" s="68" t="str">
        <x:f t="shared" ref="A68:A99" si="2">IF(B68="","",ROW()-3)</x:f>
      </x:c>
      <x:c r="B68" s="64"/>
      <x:c r="C68" s="70"/>
      <x:c r="D68" s="72"/>
      <x:c r="E68" s="64"/>
      <x:c r="F68" s="64"/>
      <x:c r="G68" s="64"/>
      <x:c r="H68" s="64"/>
    </x:row>
    <x:row r="69" ht="20" customHeight="1">
      <x:c r="A69" s="68" t="str">
        <x:f t="shared" si="2"/>
      </x:c>
      <x:c r="B69" s="64"/>
      <x:c r="C69" s="70"/>
      <x:c r="D69" s="72"/>
      <x:c r="E69" s="64"/>
      <x:c r="F69" s="64"/>
      <x:c r="G69" s="64"/>
      <x:c r="H69" s="64"/>
    </x:row>
    <x:row r="70" ht="20" customHeight="1">
      <x:c r="A70" s="68" t="str">
        <x:f t="shared" si="2"/>
      </x:c>
      <x:c r="B70" s="64"/>
      <x:c r="C70" s="70"/>
      <x:c r="D70" s="72"/>
      <x:c r="E70" s="64"/>
      <x:c r="F70" s="64"/>
      <x:c r="G70" s="64"/>
      <x:c r="H70" s="64"/>
    </x:row>
    <x:row r="71" ht="20" customHeight="1">
      <x:c r="A71" s="68" t="str">
        <x:f t="shared" si="2"/>
      </x:c>
      <x:c r="B71" s="64"/>
      <x:c r="C71" s="70"/>
      <x:c r="D71" s="72"/>
      <x:c r="E71" s="64"/>
      <x:c r="F71" s="64"/>
      <x:c r="G71" s="64"/>
      <x:c r="H71" s="64"/>
    </x:row>
    <x:row r="72" ht="20" customHeight="1">
      <x:c r="A72" s="68" t="str">
        <x:f t="shared" si="2"/>
      </x:c>
      <x:c r="B72" s="64"/>
      <x:c r="C72" s="70"/>
      <x:c r="D72" s="72"/>
      <x:c r="E72" s="64"/>
      <x:c r="F72" s="64"/>
      <x:c r="G72" s="64"/>
      <x:c r="H72" s="64"/>
    </x:row>
    <x:row r="73" ht="20" customHeight="1">
      <x:c r="A73" s="68" t="str">
        <x:f t="shared" si="2"/>
      </x:c>
      <x:c r="B73" s="64"/>
      <x:c r="C73" s="70"/>
      <x:c r="D73" s="72"/>
      <x:c r="E73" s="64"/>
      <x:c r="F73" s="64"/>
      <x:c r="G73" s="64"/>
      <x:c r="H73" s="64"/>
    </x:row>
    <x:row r="74" ht="20" customHeight="1">
      <x:c r="A74" s="68" t="str">
        <x:f t="shared" si="2"/>
      </x:c>
      <x:c r="B74" s="64"/>
      <x:c r="C74" s="70"/>
      <x:c r="D74" s="72"/>
      <x:c r="E74" s="64"/>
      <x:c r="F74" s="64"/>
      <x:c r="G74" s="64"/>
      <x:c r="H74" s="64"/>
    </x:row>
    <x:row r="75" ht="20" customHeight="1">
      <x:c r="A75" s="68" t="str">
        <x:f t="shared" si="2"/>
      </x:c>
      <x:c r="B75" s="64"/>
      <x:c r="C75" s="70"/>
      <x:c r="D75" s="72"/>
      <x:c r="E75" s="64"/>
      <x:c r="F75" s="64"/>
      <x:c r="G75" s="64"/>
      <x:c r="H75" s="64"/>
    </x:row>
    <x:row r="76" ht="20" customHeight="1">
      <x:c r="A76" s="68" t="str">
        <x:f t="shared" si="2"/>
      </x:c>
      <x:c r="B76" s="64"/>
      <x:c r="C76" s="70"/>
      <x:c r="D76" s="72"/>
      <x:c r="E76" s="64"/>
      <x:c r="F76" s="64"/>
      <x:c r="G76" s="64"/>
      <x:c r="H76" s="64"/>
    </x:row>
    <x:row r="77" ht="20" customHeight="1">
      <x:c r="A77" s="68" t="str">
        <x:f t="shared" si="2"/>
      </x:c>
      <x:c r="B77" s="64"/>
      <x:c r="C77" s="70"/>
      <x:c r="D77" s="72"/>
      <x:c r="E77" s="64"/>
      <x:c r="F77" s="64"/>
      <x:c r="G77" s="64"/>
      <x:c r="H77" s="64"/>
    </x:row>
    <x:row r="78" ht="20" customHeight="1">
      <x:c r="A78" s="68" t="str">
        <x:f t="shared" si="2"/>
      </x:c>
      <x:c r="B78" s="64"/>
      <x:c r="C78" s="70"/>
      <x:c r="D78" s="72"/>
      <x:c r="E78" s="64"/>
      <x:c r="F78" s="64"/>
      <x:c r="G78" s="64"/>
      <x:c r="H78" s="64"/>
    </x:row>
    <x:row r="79" ht="20" customHeight="1">
      <x:c r="A79" s="68" t="str">
        <x:f t="shared" si="2"/>
      </x:c>
      <x:c r="B79" s="64"/>
      <x:c r="C79" s="70"/>
      <x:c r="D79" s="72"/>
      <x:c r="E79" s="64"/>
      <x:c r="F79" s="64"/>
      <x:c r="G79" s="64"/>
      <x:c r="H79" s="64"/>
    </x:row>
    <x:row r="80" ht="20" customHeight="1">
      <x:c r="A80" s="68" t="str">
        <x:f t="shared" si="2"/>
      </x:c>
      <x:c r="B80" s="64"/>
      <x:c r="C80" s="70"/>
      <x:c r="D80" s="72"/>
      <x:c r="E80" s="64"/>
      <x:c r="F80" s="64"/>
      <x:c r="G80" s="64"/>
      <x:c r="H80" s="64"/>
    </x:row>
    <x:row r="81" ht="20" customHeight="1">
      <x:c r="A81" s="68" t="str">
        <x:f t="shared" si="2"/>
      </x:c>
      <x:c r="B81" s="64"/>
      <x:c r="C81" s="70"/>
      <x:c r="D81" s="72"/>
      <x:c r="E81" s="64"/>
      <x:c r="F81" s="64"/>
      <x:c r="G81" s="64"/>
      <x:c r="H81" s="64"/>
    </x:row>
    <x:row r="82" ht="20" customHeight="1">
      <x:c r="A82" s="68" t="str">
        <x:f t="shared" si="2"/>
      </x:c>
      <x:c r="B82" s="64"/>
      <x:c r="C82" s="70"/>
      <x:c r="D82" s="72"/>
      <x:c r="E82" s="64"/>
      <x:c r="F82" s="64"/>
      <x:c r="G82" s="64"/>
      <x:c r="H82" s="64"/>
    </x:row>
    <x:row r="83" ht="20" customHeight="1">
      <x:c r="A83" s="68" t="str">
        <x:f t="shared" si="2"/>
      </x:c>
      <x:c r="B83" s="64"/>
      <x:c r="C83" s="70"/>
      <x:c r="D83" s="72"/>
      <x:c r="E83" s="64"/>
      <x:c r="F83" s="64"/>
      <x:c r="G83" s="64"/>
      <x:c r="H83" s="64"/>
    </x:row>
    <x:row r="84" ht="20" customHeight="1">
      <x:c r="A84" s="68" t="str">
        <x:f t="shared" si="2"/>
      </x:c>
      <x:c r="B84" s="64"/>
      <x:c r="C84" s="70"/>
      <x:c r="D84" s="72"/>
      <x:c r="E84" s="64"/>
      <x:c r="F84" s="64"/>
      <x:c r="G84" s="64"/>
      <x:c r="H84" s="64"/>
    </x:row>
    <x:row r="85" ht="20" customHeight="1">
      <x:c r="A85" s="68" t="str">
        <x:f t="shared" si="2"/>
      </x:c>
      <x:c r="B85" s="64"/>
      <x:c r="C85" s="70"/>
      <x:c r="D85" s="72"/>
      <x:c r="E85" s="64"/>
      <x:c r="F85" s="64"/>
      <x:c r="G85" s="64"/>
      <x:c r="H85" s="64"/>
    </x:row>
    <x:row r="86" ht="20" customHeight="1">
      <x:c r="A86" s="68" t="str">
        <x:f t="shared" si="2"/>
      </x:c>
      <x:c r="B86" s="64"/>
      <x:c r="C86" s="70"/>
      <x:c r="D86" s="72"/>
      <x:c r="E86" s="64"/>
      <x:c r="F86" s="64"/>
      <x:c r="G86" s="64"/>
      <x:c r="H86" s="64"/>
    </x:row>
    <x:row r="87" ht="20" customHeight="1">
      <x:c r="A87" s="68" t="str">
        <x:f t="shared" si="2"/>
      </x:c>
      <x:c r="B87" s="64"/>
      <x:c r="C87" s="70"/>
      <x:c r="D87" s="72"/>
      <x:c r="E87" s="64"/>
      <x:c r="F87" s="64"/>
      <x:c r="G87" s="64"/>
      <x:c r="H87" s="64"/>
    </x:row>
    <x:row r="88" ht="20" customHeight="1">
      <x:c r="A88" s="68" t="str">
        <x:f t="shared" si="2"/>
      </x:c>
      <x:c r="B88" s="64"/>
      <x:c r="C88" s="70"/>
      <x:c r="D88" s="72"/>
      <x:c r="E88" s="64"/>
      <x:c r="F88" s="64"/>
      <x:c r="G88" s="64"/>
      <x:c r="H88" s="64"/>
    </x:row>
    <x:row r="89" ht="20" customHeight="1">
      <x:c r="A89" s="68" t="str">
        <x:f t="shared" si="2"/>
      </x:c>
      <x:c r="B89" s="64"/>
      <x:c r="C89" s="70"/>
      <x:c r="D89" s="72"/>
      <x:c r="E89" s="64"/>
      <x:c r="F89" s="64"/>
      <x:c r="G89" s="64"/>
      <x:c r="H89" s="64"/>
    </x:row>
    <x:row r="90" ht="20" customHeight="1">
      <x:c r="A90" s="68" t="str">
        <x:f t="shared" si="2"/>
      </x:c>
      <x:c r="B90" s="64"/>
      <x:c r="C90" s="70"/>
      <x:c r="D90" s="72"/>
      <x:c r="E90" s="64"/>
      <x:c r="F90" s="64"/>
      <x:c r="G90" s="64"/>
      <x:c r="H90" s="64"/>
    </x:row>
    <x:row r="91" ht="20" customHeight="1">
      <x:c r="A91" s="68" t="str">
        <x:f t="shared" si="2"/>
      </x:c>
      <x:c r="B91" s="64"/>
      <x:c r="C91" s="70"/>
      <x:c r="D91" s="72"/>
      <x:c r="E91" s="64"/>
      <x:c r="F91" s="64"/>
      <x:c r="G91" s="64"/>
      <x:c r="H91" s="64"/>
    </x:row>
    <x:row r="92" ht="20" customHeight="1">
      <x:c r="A92" s="68" t="str">
        <x:f t="shared" si="2"/>
      </x:c>
      <x:c r="B92" s="64"/>
      <x:c r="C92" s="70"/>
      <x:c r="D92" s="72"/>
      <x:c r="E92" s="64"/>
      <x:c r="F92" s="64"/>
      <x:c r="G92" s="64"/>
      <x:c r="H92" s="64"/>
    </x:row>
    <x:row r="93" ht="20" customHeight="1">
      <x:c r="A93" s="68" t="str">
        <x:f t="shared" si="2"/>
      </x:c>
      <x:c r="B93" s="64"/>
      <x:c r="C93" s="70"/>
      <x:c r="D93" s="72"/>
      <x:c r="E93" s="64"/>
      <x:c r="F93" s="64"/>
      <x:c r="G93" s="64"/>
      <x:c r="H93" s="64"/>
    </x:row>
    <x:row r="94" ht="20" customHeight="1">
      <x:c r="A94" s="68" t="str">
        <x:f t="shared" si="2"/>
      </x:c>
      <x:c r="B94" s="64"/>
      <x:c r="C94" s="70"/>
      <x:c r="D94" s="72"/>
      <x:c r="E94" s="64"/>
      <x:c r="F94" s="64"/>
      <x:c r="G94" s="64"/>
      <x:c r="H94" s="64"/>
    </x:row>
    <x:row r="95" ht="20" customHeight="1">
      <x:c r="A95" s="68" t="str">
        <x:f t="shared" si="2"/>
      </x:c>
      <x:c r="B95" s="64"/>
      <x:c r="C95" s="70"/>
      <x:c r="D95" s="72"/>
      <x:c r="E95" s="64"/>
      <x:c r="F95" s="64"/>
      <x:c r="G95" s="64"/>
      <x:c r="H95" s="64"/>
    </x:row>
    <x:row r="96" ht="20" customHeight="1">
      <x:c r="A96" s="68" t="str">
        <x:f t="shared" si="2"/>
      </x:c>
      <x:c r="B96" s="64"/>
      <x:c r="C96" s="70"/>
      <x:c r="D96" s="72"/>
      <x:c r="E96" s="64"/>
      <x:c r="F96" s="64"/>
      <x:c r="G96" s="64"/>
      <x:c r="H96" s="64"/>
    </x:row>
    <x:row r="97" ht="20" customHeight="1">
      <x:c r="A97" s="68" t="str">
        <x:f t="shared" si="2"/>
      </x:c>
      <x:c r="B97" s="64"/>
      <x:c r="C97" s="70"/>
      <x:c r="D97" s="72"/>
      <x:c r="E97" s="64"/>
      <x:c r="F97" s="64"/>
      <x:c r="G97" s="64"/>
      <x:c r="H97" s="64"/>
    </x:row>
    <x:row r="98" ht="20" customHeight="1">
      <x:c r="A98" s="68" t="str">
        <x:f t="shared" si="2"/>
      </x:c>
      <x:c r="B98" s="64"/>
      <x:c r="C98" s="70"/>
      <x:c r="D98" s="72"/>
      <x:c r="E98" s="64"/>
      <x:c r="F98" s="64"/>
      <x:c r="G98" s="64"/>
      <x:c r="H98" s="64"/>
    </x:row>
    <x:row r="99" ht="20" customHeight="1">
      <x:c r="A99" s="68" t="str">
        <x:f t="shared" si="2"/>
      </x:c>
      <x:c r="B99" s="64"/>
      <x:c r="C99" s="70"/>
      <x:c r="D99" s="72"/>
      <x:c r="E99" s="64"/>
      <x:c r="F99" s="64"/>
      <x:c r="G99" s="64"/>
      <x:c r="H99" s="64"/>
    </x:row>
    <x:row r="100" ht="20" customHeight="1">
      <x:c r="A100" s="68" t="str">
        <x:f t="shared" ref="A100:A131" si="3">IF(B100="","",ROW()-3)</x:f>
      </x:c>
      <x:c r="B100" s="64"/>
      <x:c r="C100" s="70"/>
      <x:c r="D100" s="72"/>
      <x:c r="E100" s="64"/>
      <x:c r="F100" s="64"/>
      <x:c r="G100" s="64"/>
      <x:c r="H100" s="64"/>
    </x:row>
    <x:row r="101" ht="20" customHeight="1">
      <x:c r="A101" s="68" t="str">
        <x:f t="shared" si="3"/>
      </x:c>
      <x:c r="B101" s="64"/>
      <x:c r="C101" s="70"/>
      <x:c r="D101" s="72"/>
      <x:c r="E101" s="64"/>
      <x:c r="F101" s="64"/>
      <x:c r="G101" s="64"/>
      <x:c r="H101" s="64"/>
    </x:row>
    <x:row r="102" ht="20" customHeight="1">
      <x:c r="A102" s="68" t="str">
        <x:f t="shared" si="3"/>
      </x:c>
      <x:c r="B102" s="64"/>
      <x:c r="C102" s="70"/>
      <x:c r="D102" s="72"/>
      <x:c r="E102" s="64"/>
      <x:c r="F102" s="64"/>
      <x:c r="G102" s="64"/>
      <x:c r="H102" s="64"/>
    </x:row>
    <x:row r="103" ht="20" customHeight="1">
      <x:c r="A103" s="68" t="str">
        <x:f t="shared" si="3"/>
      </x:c>
      <x:c r="B103" s="64"/>
      <x:c r="C103" s="70"/>
      <x:c r="D103" s="72"/>
      <x:c r="E103" s="64"/>
      <x:c r="F103" s="64"/>
      <x:c r="G103" s="64"/>
      <x:c r="H103" s="64"/>
    </x:row>
    <x:row r="104" ht="20" customHeight="1">
      <x:c r="A104" s="68" t="str">
        <x:f t="shared" si="3"/>
      </x:c>
      <x:c r="B104" s="64"/>
      <x:c r="C104" s="70"/>
      <x:c r="D104" s="72"/>
      <x:c r="E104" s="64"/>
      <x:c r="F104" s="64"/>
      <x:c r="G104" s="64"/>
      <x:c r="H104" s="64"/>
    </x:row>
    <x:row r="105" ht="20" customHeight="1">
      <x:c r="A105" s="68" t="str">
        <x:f t="shared" si="3"/>
      </x:c>
      <x:c r="B105" s="64"/>
      <x:c r="C105" s="70"/>
      <x:c r="D105" s="72"/>
      <x:c r="E105" s="64"/>
      <x:c r="F105" s="64"/>
      <x:c r="G105" s="64"/>
      <x:c r="H105" s="64"/>
    </x:row>
    <x:row r="106" ht="20" customHeight="1">
      <x:c r="A106" s="68" t="str">
        <x:f t="shared" si="3"/>
      </x:c>
      <x:c r="B106" s="64"/>
      <x:c r="C106" s="70"/>
      <x:c r="D106" s="72"/>
      <x:c r="E106" s="64"/>
      <x:c r="F106" s="64"/>
      <x:c r="G106" s="64"/>
      <x:c r="H106" s="64"/>
    </x:row>
    <x:row r="107" ht="20" customHeight="1">
      <x:c r="A107" s="68" t="str">
        <x:f t="shared" si="3"/>
      </x:c>
      <x:c r="B107" s="64"/>
      <x:c r="C107" s="70"/>
      <x:c r="D107" s="72"/>
      <x:c r="E107" s="64"/>
      <x:c r="F107" s="64"/>
      <x:c r="G107" s="64"/>
      <x:c r="H107" s="64"/>
    </x:row>
    <x:row r="108" ht="20" customHeight="1">
      <x:c r="A108" s="68" t="str">
        <x:f t="shared" si="3"/>
      </x:c>
      <x:c r="B108" s="64"/>
      <x:c r="C108" s="70"/>
      <x:c r="D108" s="72"/>
      <x:c r="E108" s="64"/>
      <x:c r="F108" s="64"/>
      <x:c r="G108" s="64"/>
      <x:c r="H108" s="64"/>
    </x:row>
    <x:row r="109" ht="20" customHeight="1">
      <x:c r="A109" s="68" t="str">
        <x:f t="shared" si="3"/>
      </x:c>
      <x:c r="B109" s="64"/>
      <x:c r="C109" s="70"/>
      <x:c r="D109" s="72"/>
      <x:c r="E109" s="64"/>
      <x:c r="F109" s="64"/>
      <x:c r="G109" s="64"/>
      <x:c r="H109" s="64"/>
    </x:row>
    <x:row r="110" ht="20" customHeight="1">
      <x:c r="A110" s="68" t="str">
        <x:f t="shared" si="3"/>
      </x:c>
      <x:c r="B110" s="64"/>
      <x:c r="C110" s="70"/>
      <x:c r="D110" s="72"/>
      <x:c r="E110" s="64"/>
      <x:c r="F110" s="64"/>
      <x:c r="G110" s="64"/>
      <x:c r="H110" s="64"/>
    </x:row>
    <x:row r="111" ht="20" customHeight="1">
      <x:c r="A111" s="68" t="str">
        <x:f t="shared" si="3"/>
      </x:c>
      <x:c r="B111" s="64"/>
      <x:c r="C111" s="70"/>
      <x:c r="D111" s="72"/>
      <x:c r="E111" s="64"/>
      <x:c r="F111" s="64"/>
      <x:c r="G111" s="64"/>
      <x:c r="H111" s="64"/>
    </x:row>
    <x:row r="112" ht="20" customHeight="1">
      <x:c r="A112" s="68" t="str">
        <x:f t="shared" si="3"/>
      </x:c>
      <x:c r="B112" s="64"/>
      <x:c r="C112" s="70"/>
      <x:c r="D112" s="72"/>
      <x:c r="E112" s="64"/>
      <x:c r="F112" s="64"/>
      <x:c r="G112" s="64"/>
      <x:c r="H112" s="64"/>
    </x:row>
    <x:row r="113" ht="20" customHeight="1">
      <x:c r="A113" s="68" t="str">
        <x:f t="shared" si="3"/>
      </x:c>
      <x:c r="B113" s="64"/>
      <x:c r="C113" s="70"/>
      <x:c r="D113" s="72"/>
      <x:c r="E113" s="64"/>
      <x:c r="F113" s="64"/>
      <x:c r="G113" s="64"/>
      <x:c r="H113" s="64"/>
    </x:row>
    <x:row r="114" ht="20" customHeight="1">
      <x:c r="A114" s="68" t="str">
        <x:f t="shared" si="3"/>
      </x:c>
      <x:c r="B114" s="64"/>
      <x:c r="C114" s="70"/>
      <x:c r="D114" s="72"/>
      <x:c r="E114" s="64"/>
      <x:c r="F114" s="64"/>
      <x:c r="G114" s="64"/>
      <x:c r="H114" s="64"/>
    </x:row>
    <x:row r="115" ht="20" customHeight="1">
      <x:c r="A115" s="68" t="str">
        <x:f t="shared" si="3"/>
      </x:c>
      <x:c r="B115" s="64"/>
      <x:c r="C115" s="70"/>
      <x:c r="D115" s="72"/>
      <x:c r="E115" s="64"/>
      <x:c r="F115" s="64"/>
      <x:c r="G115" s="64"/>
      <x:c r="H115" s="64"/>
    </x:row>
    <x:row r="116" ht="20" customHeight="1">
      <x:c r="A116" s="68" t="str">
        <x:f t="shared" si="3"/>
      </x:c>
      <x:c r="B116" s="64"/>
      <x:c r="C116" s="70"/>
      <x:c r="D116" s="72"/>
      <x:c r="E116" s="64"/>
      <x:c r="F116" s="64"/>
      <x:c r="G116" s="64"/>
      <x:c r="H116" s="64"/>
    </x:row>
    <x:row r="117" ht="20" customHeight="1">
      <x:c r="A117" s="68" t="str">
        <x:f t="shared" si="3"/>
      </x:c>
      <x:c r="B117" s="64"/>
      <x:c r="C117" s="70"/>
      <x:c r="D117" s="72"/>
      <x:c r="E117" s="64"/>
      <x:c r="F117" s="64"/>
      <x:c r="G117" s="64"/>
      <x:c r="H117" s="64"/>
    </x:row>
    <x:row r="118" ht="20" customHeight="1">
      <x:c r="A118" s="68" t="str">
        <x:f t="shared" si="3"/>
      </x:c>
      <x:c r="B118" s="64"/>
      <x:c r="C118" s="70"/>
      <x:c r="D118" s="72"/>
      <x:c r="E118" s="64"/>
      <x:c r="F118" s="64"/>
      <x:c r="G118" s="64"/>
      <x:c r="H118" s="64"/>
    </x:row>
    <x:row r="119" ht="20" customHeight="1">
      <x:c r="A119" s="68" t="str">
        <x:f t="shared" si="3"/>
      </x:c>
      <x:c r="B119" s="64"/>
      <x:c r="C119" s="70"/>
      <x:c r="D119" s="72"/>
      <x:c r="E119" s="64"/>
      <x:c r="F119" s="64"/>
      <x:c r="G119" s="64"/>
      <x:c r="H119" s="64"/>
    </x:row>
    <x:row r="120" ht="20" customHeight="1">
      <x:c r="A120" s="68" t="str">
        <x:f t="shared" si="3"/>
      </x:c>
      <x:c r="B120" s="64"/>
      <x:c r="C120" s="70"/>
      <x:c r="D120" s="72"/>
      <x:c r="E120" s="64"/>
      <x:c r="F120" s="64"/>
      <x:c r="G120" s="64"/>
      <x:c r="H120" s="64"/>
    </x:row>
    <x:row r="121" ht="20" customHeight="1">
      <x:c r="A121" s="68" t="str">
        <x:f t="shared" si="3"/>
      </x:c>
      <x:c r="B121" s="64"/>
      <x:c r="C121" s="70"/>
      <x:c r="D121" s="72"/>
      <x:c r="E121" s="64"/>
      <x:c r="F121" s="64"/>
      <x:c r="G121" s="64"/>
      <x:c r="H121" s="64"/>
    </x:row>
    <x:row r="122" ht="20" customHeight="1">
      <x:c r="A122" s="68" t="str">
        <x:f t="shared" si="3"/>
      </x:c>
      <x:c r="B122" s="64"/>
      <x:c r="C122" s="70"/>
      <x:c r="D122" s="72"/>
      <x:c r="E122" s="64"/>
      <x:c r="F122" s="64"/>
      <x:c r="G122" s="64"/>
      <x:c r="H122" s="64"/>
    </x:row>
    <x:row r="123" ht="20" customHeight="1">
      <x:c r="A123" s="68" t="str">
        <x:f t="shared" si="3"/>
      </x:c>
      <x:c r="B123" s="64"/>
      <x:c r="C123" s="70"/>
      <x:c r="D123" s="72"/>
      <x:c r="E123" s="64"/>
      <x:c r="F123" s="64"/>
      <x:c r="G123" s="64"/>
      <x:c r="H123" s="64"/>
    </x:row>
    <x:row r="124" ht="20" customHeight="1">
      <x:c r="A124" s="68" t="str">
        <x:f t="shared" si="3"/>
      </x:c>
      <x:c r="B124" s="64"/>
      <x:c r="C124" s="70"/>
      <x:c r="D124" s="72"/>
      <x:c r="E124" s="64"/>
      <x:c r="F124" s="64"/>
      <x:c r="G124" s="64"/>
      <x:c r="H124" s="64"/>
    </x:row>
    <x:row r="125" ht="20" customHeight="1">
      <x:c r="A125" s="68" t="str">
        <x:f t="shared" si="3"/>
      </x:c>
      <x:c r="B125" s="64"/>
      <x:c r="C125" s="70"/>
      <x:c r="D125" s="72"/>
      <x:c r="E125" s="64"/>
      <x:c r="F125" s="64"/>
      <x:c r="G125" s="64"/>
      <x:c r="H125" s="64"/>
    </x:row>
    <x:row r="126" ht="20" customHeight="1">
      <x:c r="A126" s="68" t="str">
        <x:f t="shared" si="3"/>
      </x:c>
      <x:c r="B126" s="64"/>
      <x:c r="C126" s="70"/>
      <x:c r="D126" s="72"/>
      <x:c r="E126" s="64"/>
      <x:c r="F126" s="64"/>
      <x:c r="G126" s="64"/>
      <x:c r="H126" s="64"/>
    </x:row>
    <x:row r="127" ht="20" customHeight="1">
      <x:c r="A127" s="68" t="str">
        <x:f t="shared" si="3"/>
      </x:c>
      <x:c r="B127" s="64"/>
      <x:c r="C127" s="70"/>
      <x:c r="D127" s="72"/>
      <x:c r="E127" s="64"/>
      <x:c r="F127" s="64"/>
      <x:c r="G127" s="64"/>
      <x:c r="H127" s="64"/>
    </x:row>
    <x:row r="128" ht="20" customHeight="1">
      <x:c r="A128" s="68" t="str">
        <x:f t="shared" si="3"/>
      </x:c>
      <x:c r="B128" s="64"/>
      <x:c r="C128" s="70"/>
      <x:c r="D128" s="72"/>
      <x:c r="E128" s="64"/>
      <x:c r="F128" s="64"/>
      <x:c r="G128" s="64"/>
      <x:c r="H128" s="64"/>
    </x:row>
    <x:row r="129" ht="20" customHeight="1">
      <x:c r="A129" s="68" t="str">
        <x:f t="shared" si="3"/>
      </x:c>
      <x:c r="B129" s="64"/>
      <x:c r="C129" s="70"/>
      <x:c r="D129" s="72"/>
      <x:c r="E129" s="64"/>
      <x:c r="F129" s="64"/>
      <x:c r="G129" s="64"/>
      <x:c r="H129" s="64"/>
    </x:row>
    <x:row r="130" ht="20" customHeight="1">
      <x:c r="A130" s="68" t="str">
        <x:f t="shared" si="3"/>
      </x:c>
      <x:c r="B130" s="64"/>
      <x:c r="C130" s="70"/>
      <x:c r="D130" s="72"/>
      <x:c r="E130" s="64"/>
      <x:c r="F130" s="64"/>
      <x:c r="G130" s="64"/>
      <x:c r="H130" s="64"/>
    </x:row>
    <x:row r="131" ht="20" customHeight="1">
      <x:c r="A131" s="68" t="str">
        <x:f t="shared" si="3"/>
      </x:c>
      <x:c r="B131" s="64"/>
      <x:c r="C131" s="70"/>
      <x:c r="D131" s="72"/>
      <x:c r="E131" s="64"/>
      <x:c r="F131" s="64"/>
      <x:c r="G131" s="64"/>
      <x:c r="H131" s="64"/>
    </x:row>
    <x:row r="132" ht="20" customHeight="1">
      <x:c r="A132" s="68" t="str">
        <x:f t="shared" ref="A132:A163" si="4">IF(B132="","",ROW()-3)</x:f>
      </x:c>
      <x:c r="B132" s="64"/>
      <x:c r="C132" s="70"/>
      <x:c r="D132" s="72"/>
      <x:c r="E132" s="64"/>
      <x:c r="F132" s="64"/>
      <x:c r="G132" s="64"/>
      <x:c r="H132" s="64"/>
    </x:row>
    <x:row r="133" ht="20" customHeight="1">
      <x:c r="A133" s="68" t="str">
        <x:f t="shared" si="4"/>
      </x:c>
      <x:c r="B133" s="64"/>
      <x:c r="C133" s="70"/>
      <x:c r="D133" s="72"/>
      <x:c r="E133" s="64"/>
      <x:c r="F133" s="64"/>
      <x:c r="G133" s="64"/>
      <x:c r="H133" s="64"/>
    </x:row>
    <x:row r="134" ht="20" customHeight="1">
      <x:c r="A134" s="68" t="str">
        <x:f t="shared" si="4"/>
      </x:c>
      <x:c r="B134" s="64"/>
      <x:c r="C134" s="70"/>
      <x:c r="D134" s="72"/>
      <x:c r="E134" s="64"/>
      <x:c r="F134" s="64"/>
      <x:c r="G134" s="64"/>
      <x:c r="H134" s="64"/>
    </x:row>
    <x:row r="135" ht="20" customHeight="1">
      <x:c r="A135" s="68" t="str">
        <x:f t="shared" si="4"/>
      </x:c>
      <x:c r="B135" s="64"/>
      <x:c r="C135" s="70"/>
      <x:c r="D135" s="72"/>
      <x:c r="E135" s="64"/>
      <x:c r="F135" s="64"/>
      <x:c r="G135" s="64"/>
      <x:c r="H135" s="64"/>
    </x:row>
    <x:row r="136" ht="20" customHeight="1">
      <x:c r="A136" s="68" t="str">
        <x:f t="shared" si="4"/>
      </x:c>
      <x:c r="B136" s="64"/>
      <x:c r="C136" s="70"/>
      <x:c r="D136" s="72"/>
      <x:c r="E136" s="64"/>
      <x:c r="F136" s="64"/>
      <x:c r="G136" s="64"/>
      <x:c r="H136" s="64"/>
    </x:row>
    <x:row r="137" ht="20" customHeight="1">
      <x:c r="A137" s="68" t="str">
        <x:f t="shared" si="4"/>
      </x:c>
      <x:c r="B137" s="64"/>
      <x:c r="C137" s="70"/>
      <x:c r="D137" s="72"/>
      <x:c r="E137" s="64"/>
      <x:c r="F137" s="64"/>
      <x:c r="G137" s="64"/>
      <x:c r="H137" s="64"/>
    </x:row>
    <x:row r="138" ht="20" customHeight="1">
      <x:c r="A138" s="68" t="str">
        <x:f t="shared" si="4"/>
      </x:c>
      <x:c r="B138" s="64"/>
      <x:c r="C138" s="70"/>
      <x:c r="D138" s="72"/>
      <x:c r="E138" s="64"/>
      <x:c r="F138" s="64"/>
      <x:c r="G138" s="64"/>
      <x:c r="H138" s="64"/>
    </x:row>
    <x:row r="139" ht="20" customHeight="1">
      <x:c r="A139" s="68" t="str">
        <x:f t="shared" si="4"/>
      </x:c>
      <x:c r="B139" s="64"/>
      <x:c r="C139" s="70"/>
      <x:c r="D139" s="72"/>
      <x:c r="E139" s="64"/>
      <x:c r="F139" s="64"/>
      <x:c r="G139" s="64"/>
      <x:c r="H139" s="64"/>
    </x:row>
    <x:row r="140" ht="20" customHeight="1">
      <x:c r="A140" s="68" t="str">
        <x:f t="shared" si="4"/>
      </x:c>
      <x:c r="B140" s="64"/>
      <x:c r="C140" s="70"/>
      <x:c r="D140" s="72"/>
      <x:c r="E140" s="64"/>
      <x:c r="F140" s="64"/>
      <x:c r="G140" s="64"/>
      <x:c r="H140" s="64"/>
    </x:row>
    <x:row r="141" ht="20" customHeight="1">
      <x:c r="A141" s="68" t="str">
        <x:f t="shared" si="4"/>
      </x:c>
      <x:c r="B141" s="64"/>
      <x:c r="C141" s="70"/>
      <x:c r="D141" s="72"/>
      <x:c r="E141" s="64"/>
      <x:c r="F141" s="64"/>
      <x:c r="G141" s="64"/>
      <x:c r="H141" s="64"/>
    </x:row>
    <x:row r="142" ht="20" customHeight="1">
      <x:c r="A142" s="68" t="str">
        <x:f t="shared" si="4"/>
      </x:c>
      <x:c r="B142" s="64"/>
      <x:c r="C142" s="70"/>
      <x:c r="D142" s="72"/>
      <x:c r="E142" s="64"/>
      <x:c r="F142" s="64"/>
      <x:c r="G142" s="64"/>
      <x:c r="H142" s="64"/>
    </x:row>
    <x:row r="143" ht="20" customHeight="1">
      <x:c r="A143" s="68" t="str">
        <x:f t="shared" si="4"/>
      </x:c>
      <x:c r="B143" s="64"/>
      <x:c r="C143" s="70"/>
      <x:c r="D143" s="72"/>
      <x:c r="E143" s="64"/>
      <x:c r="F143" s="64"/>
      <x:c r="G143" s="64"/>
      <x:c r="H143" s="64"/>
    </x:row>
    <x:row r="144" ht="20" customHeight="1">
      <x:c r="A144" s="68" t="str">
        <x:f t="shared" si="4"/>
      </x:c>
      <x:c r="B144" s="64"/>
      <x:c r="C144" s="70"/>
      <x:c r="D144" s="72"/>
      <x:c r="E144" s="64"/>
      <x:c r="F144" s="64"/>
      <x:c r="G144" s="64"/>
      <x:c r="H144" s="64"/>
    </x:row>
    <x:row r="145" ht="20" customHeight="1">
      <x:c r="A145" s="68" t="str">
        <x:f t="shared" si="4"/>
      </x:c>
      <x:c r="B145" s="64"/>
      <x:c r="C145" s="70"/>
      <x:c r="D145" s="72"/>
      <x:c r="E145" s="64"/>
      <x:c r="F145" s="64"/>
      <x:c r="G145" s="64"/>
      <x:c r="H145" s="64"/>
    </x:row>
    <x:row r="146" ht="20" customHeight="1">
      <x:c r="A146" s="68" t="str">
        <x:f t="shared" si="4"/>
      </x:c>
      <x:c r="B146" s="64"/>
      <x:c r="C146" s="70"/>
      <x:c r="D146" s="72"/>
      <x:c r="E146" s="64"/>
      <x:c r="F146" s="64"/>
      <x:c r="G146" s="64"/>
      <x:c r="H146" s="64"/>
    </x:row>
    <x:row r="147" ht="20" customHeight="1">
      <x:c r="A147" s="68" t="str">
        <x:f t="shared" si="4"/>
      </x:c>
      <x:c r="B147" s="64"/>
      <x:c r="C147" s="70"/>
      <x:c r="D147" s="72"/>
      <x:c r="E147" s="64"/>
      <x:c r="F147" s="64"/>
      <x:c r="G147" s="64"/>
      <x:c r="H147" s="64"/>
    </x:row>
    <x:row r="148" ht="20" customHeight="1">
      <x:c r="A148" s="68" t="str">
        <x:f t="shared" si="4"/>
      </x:c>
      <x:c r="B148" s="64"/>
      <x:c r="C148" s="70"/>
      <x:c r="D148" s="72"/>
      <x:c r="E148" s="64"/>
      <x:c r="F148" s="64"/>
      <x:c r="G148" s="64"/>
      <x:c r="H148" s="64"/>
    </x:row>
    <x:row r="149" ht="20" customHeight="1">
      <x:c r="A149" s="68" t="str">
        <x:f t="shared" si="4"/>
      </x:c>
      <x:c r="B149" s="64"/>
      <x:c r="C149" s="70"/>
      <x:c r="D149" s="72"/>
      <x:c r="E149" s="64"/>
      <x:c r="F149" s="64"/>
      <x:c r="G149" s="64"/>
      <x:c r="H149" s="64"/>
    </x:row>
    <x:row r="150" ht="20" customHeight="1">
      <x:c r="A150" s="68" t="str">
        <x:f t="shared" si="4"/>
      </x:c>
      <x:c r="B150" s="64"/>
      <x:c r="C150" s="70"/>
      <x:c r="D150" s="72"/>
      <x:c r="E150" s="64"/>
      <x:c r="F150" s="64"/>
      <x:c r="G150" s="64"/>
      <x:c r="H150" s="64"/>
    </x:row>
    <x:row r="151" ht="20" customHeight="1">
      <x:c r="A151" s="68" t="str">
        <x:f t="shared" si="4"/>
      </x:c>
      <x:c r="B151" s="64"/>
      <x:c r="C151" s="70"/>
      <x:c r="D151" s="72"/>
      <x:c r="E151" s="64"/>
      <x:c r="F151" s="64"/>
      <x:c r="G151" s="64"/>
      <x:c r="H151" s="64"/>
    </x:row>
    <x:row r="152" ht="20" customHeight="1">
      <x:c r="A152" s="68" t="str">
        <x:f t="shared" si="4"/>
      </x:c>
      <x:c r="B152" s="64"/>
      <x:c r="C152" s="70"/>
      <x:c r="D152" s="72"/>
      <x:c r="E152" s="64"/>
      <x:c r="F152" s="64"/>
      <x:c r="G152" s="64"/>
      <x:c r="H152" s="64"/>
    </x:row>
    <x:row r="153" ht="20" customHeight="1">
      <x:c r="A153" s="68" t="str">
        <x:f t="shared" si="4"/>
      </x:c>
      <x:c r="B153" s="64"/>
      <x:c r="C153" s="70"/>
      <x:c r="D153" s="72"/>
      <x:c r="E153" s="64"/>
      <x:c r="F153" s="64"/>
      <x:c r="G153" s="64"/>
      <x:c r="H153" s="64"/>
    </x:row>
    <x:row r="154" ht="20" customHeight="1">
      <x:c r="A154" s="68" t="str">
        <x:f t="shared" si="4"/>
      </x:c>
      <x:c r="B154" s="64"/>
      <x:c r="C154" s="70"/>
      <x:c r="D154" s="72"/>
      <x:c r="E154" s="64"/>
      <x:c r="F154" s="64"/>
      <x:c r="G154" s="64"/>
      <x:c r="H154" s="64"/>
    </x:row>
    <x:row r="155" ht="20" customHeight="1">
      <x:c r="A155" s="68" t="str">
        <x:f t="shared" si="4"/>
      </x:c>
      <x:c r="B155" s="64"/>
      <x:c r="C155" s="70"/>
      <x:c r="D155" s="72"/>
      <x:c r="E155" s="64"/>
      <x:c r="F155" s="64"/>
      <x:c r="G155" s="64"/>
      <x:c r="H155" s="64"/>
    </x:row>
    <x:row r="156" ht="20" customHeight="1">
      <x:c r="A156" s="68" t="str">
        <x:f t="shared" si="4"/>
      </x:c>
      <x:c r="B156" s="64"/>
      <x:c r="C156" s="70"/>
      <x:c r="D156" s="72"/>
      <x:c r="E156" s="64"/>
      <x:c r="F156" s="64"/>
      <x:c r="G156" s="64"/>
      <x:c r="H156" s="64"/>
    </x:row>
    <x:row r="157" ht="20" customHeight="1">
      <x:c r="A157" s="68" t="str">
        <x:f t="shared" si="4"/>
      </x:c>
      <x:c r="B157" s="64"/>
      <x:c r="C157" s="70"/>
      <x:c r="D157" s="72"/>
      <x:c r="E157" s="64"/>
      <x:c r="F157" s="64"/>
      <x:c r="G157" s="64"/>
      <x:c r="H157" s="64"/>
    </x:row>
    <x:row r="158" ht="20" customHeight="1">
      <x:c r="A158" s="68" t="str">
        <x:f t="shared" si="4"/>
      </x:c>
      <x:c r="B158" s="64"/>
      <x:c r="C158" s="70"/>
      <x:c r="D158" s="72"/>
      <x:c r="E158" s="64"/>
      <x:c r="F158" s="64"/>
      <x:c r="G158" s="64"/>
      <x:c r="H158" s="64"/>
    </x:row>
    <x:row r="159" ht="20" customHeight="1">
      <x:c r="A159" s="68" t="str">
        <x:f t="shared" si="4"/>
      </x:c>
      <x:c r="B159" s="64"/>
      <x:c r="C159" s="70"/>
      <x:c r="D159" s="72"/>
      <x:c r="E159" s="64"/>
      <x:c r="F159" s="64"/>
      <x:c r="G159" s="64"/>
      <x:c r="H159" s="64"/>
    </x:row>
    <x:row r="160" ht="20" customHeight="1">
      <x:c r="A160" s="68" t="str">
        <x:f t="shared" si="4"/>
      </x:c>
      <x:c r="B160" s="64"/>
      <x:c r="C160" s="70"/>
      <x:c r="D160" s="72"/>
      <x:c r="E160" s="64"/>
      <x:c r="F160" s="64"/>
      <x:c r="G160" s="64"/>
      <x:c r="H160" s="64"/>
    </x:row>
    <x:row r="161" ht="20" customHeight="1">
      <x:c r="A161" s="68" t="str">
        <x:f t="shared" si="4"/>
      </x:c>
      <x:c r="B161" s="64"/>
      <x:c r="C161" s="70"/>
      <x:c r="D161" s="72"/>
      <x:c r="E161" s="64"/>
      <x:c r="F161" s="64"/>
      <x:c r="G161" s="64"/>
      <x:c r="H161" s="64"/>
    </x:row>
    <x:row r="162" ht="20" customHeight="1">
      <x:c r="A162" s="68" t="str">
        <x:f t="shared" si="4"/>
      </x:c>
      <x:c r="B162" s="64"/>
      <x:c r="C162" s="70"/>
      <x:c r="D162" s="72"/>
      <x:c r="E162" s="64"/>
      <x:c r="F162" s="64"/>
      <x:c r="G162" s="64"/>
      <x:c r="H162" s="64"/>
    </x:row>
    <x:row r="163" ht="20" customHeight="1">
      <x:c r="A163" s="68" t="str">
        <x:f t="shared" si="4"/>
      </x:c>
      <x:c r="B163" s="64"/>
      <x:c r="C163" s="70"/>
      <x:c r="D163" s="72"/>
      <x:c r="E163" s="64"/>
      <x:c r="F163" s="64"/>
      <x:c r="G163" s="64"/>
      <x:c r="H163" s="64"/>
    </x:row>
    <x:row r="164" ht="20" customHeight="1">
      <x:c r="A164" s="68" t="str">
        <x:f t="shared" ref="A164:A195" si="5">IF(B164="","",ROW()-3)</x:f>
      </x:c>
      <x:c r="B164" s="64"/>
      <x:c r="C164" s="70"/>
      <x:c r="D164" s="72"/>
      <x:c r="E164" s="64"/>
      <x:c r="F164" s="64"/>
      <x:c r="G164" s="64"/>
      <x:c r="H164" s="64"/>
    </x:row>
    <x:row r="165" ht="20" customHeight="1">
      <x:c r="A165" s="68" t="str">
        <x:f t="shared" si="5"/>
      </x:c>
      <x:c r="B165" s="64"/>
      <x:c r="C165" s="70"/>
      <x:c r="D165" s="72"/>
      <x:c r="E165" s="64"/>
      <x:c r="F165" s="64"/>
      <x:c r="G165" s="64"/>
      <x:c r="H165" s="64"/>
    </x:row>
    <x:row r="166" ht="20" customHeight="1">
      <x:c r="A166" s="68" t="str">
        <x:f t="shared" si="5"/>
      </x:c>
      <x:c r="B166" s="64"/>
      <x:c r="C166" s="70"/>
      <x:c r="D166" s="72"/>
      <x:c r="E166" s="64"/>
      <x:c r="F166" s="64"/>
      <x:c r="G166" s="64"/>
      <x:c r="H166" s="64"/>
    </x:row>
    <x:row r="167" ht="20" customHeight="1">
      <x:c r="A167" s="68" t="str">
        <x:f t="shared" si="5"/>
      </x:c>
      <x:c r="B167" s="64"/>
      <x:c r="C167" s="70"/>
      <x:c r="D167" s="72"/>
      <x:c r="E167" s="64"/>
      <x:c r="F167" s="64"/>
      <x:c r="G167" s="64"/>
      <x:c r="H167" s="64"/>
    </x:row>
    <x:row r="168" ht="20" customHeight="1">
      <x:c r="A168" s="68" t="str">
        <x:f t="shared" si="5"/>
      </x:c>
      <x:c r="B168" s="64"/>
      <x:c r="C168" s="70"/>
      <x:c r="D168" s="72"/>
      <x:c r="E168" s="64"/>
      <x:c r="F168" s="64"/>
      <x:c r="G168" s="64"/>
      <x:c r="H168" s="64"/>
    </x:row>
    <x:row r="169" ht="20" customHeight="1">
      <x:c r="A169" s="68" t="str">
        <x:f t="shared" si="5"/>
      </x:c>
      <x:c r="B169" s="64"/>
      <x:c r="C169" s="70"/>
      <x:c r="D169" s="72"/>
      <x:c r="E169" s="64"/>
      <x:c r="F169" s="64"/>
      <x:c r="G169" s="64"/>
      <x:c r="H169" s="64"/>
    </x:row>
    <x:row r="170" ht="20" customHeight="1">
      <x:c r="A170" s="68" t="str">
        <x:f t="shared" si="5"/>
      </x:c>
      <x:c r="B170" s="64"/>
      <x:c r="C170" s="70"/>
      <x:c r="D170" s="72"/>
      <x:c r="E170" s="64"/>
      <x:c r="F170" s="64"/>
      <x:c r="G170" s="64"/>
      <x:c r="H170" s="64"/>
    </x:row>
    <x:row r="171" ht="20" customHeight="1">
      <x:c r="A171" s="68" t="str">
        <x:f t="shared" si="5"/>
      </x:c>
      <x:c r="B171" s="64"/>
      <x:c r="C171" s="70"/>
      <x:c r="D171" s="72"/>
      <x:c r="E171" s="64"/>
      <x:c r="F171" s="64"/>
      <x:c r="G171" s="64"/>
      <x:c r="H171" s="64"/>
    </x:row>
    <x:row r="172" ht="20" customHeight="1">
      <x:c r="A172" s="68" t="str">
        <x:f t="shared" si="5"/>
      </x:c>
      <x:c r="B172" s="64"/>
      <x:c r="C172" s="70"/>
      <x:c r="D172" s="72"/>
      <x:c r="E172" s="64"/>
      <x:c r="F172" s="64"/>
      <x:c r="G172" s="64"/>
      <x:c r="H172" s="64"/>
    </x:row>
    <x:row r="173" ht="20" customHeight="1">
      <x:c r="A173" s="68" t="str">
        <x:f t="shared" si="5"/>
      </x:c>
      <x:c r="B173" s="64"/>
      <x:c r="C173" s="70"/>
      <x:c r="D173" s="72"/>
      <x:c r="E173" s="64"/>
      <x:c r="F173" s="64"/>
      <x:c r="G173" s="64"/>
      <x:c r="H173" s="64"/>
    </x:row>
    <x:row r="174" ht="20" customHeight="1">
      <x:c r="A174" s="68" t="str">
        <x:f t="shared" si="5"/>
      </x:c>
      <x:c r="B174" s="64"/>
      <x:c r="C174" s="70"/>
      <x:c r="D174" s="72"/>
      <x:c r="E174" s="64"/>
      <x:c r="F174" s="64"/>
      <x:c r="G174" s="64"/>
      <x:c r="H174" s="64"/>
    </x:row>
    <x:row r="175" ht="20" customHeight="1">
      <x:c r="A175" s="68" t="str">
        <x:f t="shared" si="5"/>
      </x:c>
      <x:c r="B175" s="64"/>
      <x:c r="C175" s="70"/>
      <x:c r="D175" s="72"/>
      <x:c r="E175" s="64"/>
      <x:c r="F175" s="64"/>
      <x:c r="G175" s="64"/>
      <x:c r="H175" s="64"/>
    </x:row>
    <x:row r="176" ht="20" customHeight="1">
      <x:c r="A176" s="68" t="str">
        <x:f t="shared" si="5"/>
      </x:c>
      <x:c r="B176" s="64"/>
      <x:c r="C176" s="70"/>
      <x:c r="D176" s="72"/>
      <x:c r="E176" s="64"/>
      <x:c r="F176" s="64"/>
      <x:c r="G176" s="64"/>
      <x:c r="H176" s="64"/>
    </x:row>
    <x:row r="177" ht="20" customHeight="1">
      <x:c r="A177" s="68" t="str">
        <x:f t="shared" si="5"/>
      </x:c>
      <x:c r="B177" s="64"/>
      <x:c r="C177" s="70"/>
      <x:c r="D177" s="72"/>
      <x:c r="E177" s="64"/>
      <x:c r="F177" s="64"/>
      <x:c r="G177" s="64"/>
      <x:c r="H177" s="64"/>
    </x:row>
    <x:row r="178" ht="20" customHeight="1">
      <x:c r="A178" s="68" t="str">
        <x:f t="shared" si="5"/>
      </x:c>
      <x:c r="B178" s="64"/>
      <x:c r="C178" s="70"/>
      <x:c r="D178" s="72"/>
      <x:c r="E178" s="64"/>
      <x:c r="F178" s="64"/>
      <x:c r="G178" s="64"/>
      <x:c r="H178" s="64"/>
    </x:row>
    <x:row r="179" ht="20" customHeight="1">
      <x:c r="A179" s="68" t="str">
        <x:f t="shared" si="5"/>
      </x:c>
      <x:c r="B179" s="64"/>
      <x:c r="C179" s="70"/>
      <x:c r="D179" s="72"/>
      <x:c r="E179" s="64"/>
      <x:c r="F179" s="64"/>
      <x:c r="G179" s="64"/>
      <x:c r="H179" s="64"/>
    </x:row>
    <x:row r="180" ht="20" customHeight="1">
      <x:c r="A180" s="68" t="str">
        <x:f t="shared" si="5"/>
      </x:c>
      <x:c r="B180" s="64"/>
      <x:c r="C180" s="70"/>
      <x:c r="D180" s="72"/>
      <x:c r="E180" s="64"/>
      <x:c r="F180" s="64"/>
      <x:c r="G180" s="64"/>
      <x:c r="H180" s="64"/>
    </x:row>
    <x:row r="181" ht="20" customHeight="1">
      <x:c r="A181" s="68" t="str">
        <x:f t="shared" si="5"/>
      </x:c>
      <x:c r="B181" s="64"/>
      <x:c r="C181" s="70"/>
      <x:c r="D181" s="72"/>
      <x:c r="E181" s="64"/>
      <x:c r="F181" s="64"/>
      <x:c r="G181" s="64"/>
      <x:c r="H181" s="64"/>
    </x:row>
    <x:row r="182" ht="20" customHeight="1">
      <x:c r="A182" s="68" t="str">
        <x:f t="shared" si="5"/>
      </x:c>
      <x:c r="B182" s="64"/>
      <x:c r="C182" s="70"/>
      <x:c r="D182" s="72"/>
      <x:c r="E182" s="64"/>
      <x:c r="F182" s="64"/>
      <x:c r="G182" s="64"/>
      <x:c r="H182" s="64"/>
    </x:row>
    <x:row r="183" ht="20" customHeight="1">
      <x:c r="A183" s="68" t="str">
        <x:f t="shared" si="5"/>
      </x:c>
      <x:c r="B183" s="64"/>
      <x:c r="C183" s="70"/>
      <x:c r="D183" s="72"/>
      <x:c r="E183" s="64"/>
      <x:c r="F183" s="64"/>
      <x:c r="G183" s="64"/>
      <x:c r="H183" s="64"/>
    </x:row>
    <x:row r="184" ht="20" customHeight="1">
      <x:c r="A184" s="68" t="str">
        <x:f t="shared" si="5"/>
      </x:c>
      <x:c r="B184" s="64"/>
      <x:c r="C184" s="70"/>
      <x:c r="D184" s="72"/>
      <x:c r="E184" s="64"/>
      <x:c r="F184" s="64"/>
      <x:c r="G184" s="64"/>
      <x:c r="H184" s="64"/>
    </x:row>
    <x:row r="185" ht="20" customHeight="1">
      <x:c r="A185" s="68" t="str">
        <x:f t="shared" si="5"/>
      </x:c>
      <x:c r="B185" s="64"/>
      <x:c r="C185" s="70"/>
      <x:c r="D185" s="72"/>
      <x:c r="E185" s="64"/>
      <x:c r="F185" s="64"/>
      <x:c r="G185" s="64"/>
      <x:c r="H185" s="64"/>
    </x:row>
    <x:row r="186" ht="20" customHeight="1">
      <x:c r="A186" s="68" t="str">
        <x:f t="shared" si="5"/>
      </x:c>
      <x:c r="B186" s="64"/>
      <x:c r="C186" s="70"/>
      <x:c r="D186" s="72"/>
      <x:c r="E186" s="64"/>
      <x:c r="F186" s="64"/>
      <x:c r="G186" s="64"/>
      <x:c r="H186" s="64"/>
    </x:row>
    <x:row r="187" ht="20" customHeight="1">
      <x:c r="A187" s="68" t="str">
        <x:f t="shared" si="5"/>
      </x:c>
      <x:c r="B187" s="64"/>
      <x:c r="C187" s="70"/>
      <x:c r="D187" s="72"/>
      <x:c r="E187" s="64"/>
      <x:c r="F187" s="64"/>
      <x:c r="G187" s="64"/>
      <x:c r="H187" s="64"/>
    </x:row>
    <x:row r="188" ht="20" customHeight="1">
      <x:c r="A188" s="68" t="str">
        <x:f t="shared" si="5"/>
      </x:c>
      <x:c r="B188" s="64"/>
      <x:c r="C188" s="70"/>
      <x:c r="D188" s="72"/>
      <x:c r="E188" s="64"/>
      <x:c r="F188" s="64"/>
      <x:c r="G188" s="64"/>
      <x:c r="H188" s="64"/>
    </x:row>
    <x:row r="189" ht="20" customHeight="1">
      <x:c r="A189" s="68" t="str">
        <x:f t="shared" si="5"/>
      </x:c>
      <x:c r="B189" s="64"/>
      <x:c r="C189" s="70"/>
      <x:c r="D189" s="72"/>
      <x:c r="E189" s="64"/>
      <x:c r="F189" s="64"/>
      <x:c r="G189" s="64"/>
      <x:c r="H189" s="64"/>
    </x:row>
    <x:row r="190" ht="20" customHeight="1">
      <x:c r="A190" s="68" t="str">
        <x:f t="shared" si="5"/>
      </x:c>
      <x:c r="B190" s="64"/>
      <x:c r="C190" s="70"/>
      <x:c r="D190" s="72"/>
      <x:c r="E190" s="64"/>
      <x:c r="F190" s="64"/>
      <x:c r="G190" s="64"/>
      <x:c r="H190" s="64"/>
    </x:row>
    <x:row r="191" ht="20" customHeight="1">
      <x:c r="A191" s="68" t="str">
        <x:f t="shared" si="5"/>
      </x:c>
      <x:c r="B191" s="64"/>
      <x:c r="C191" s="70"/>
      <x:c r="D191" s="72"/>
      <x:c r="E191" s="64"/>
      <x:c r="F191" s="64"/>
      <x:c r="G191" s="64"/>
      <x:c r="H191" s="64"/>
    </x:row>
    <x:row r="192" ht="20" customHeight="1">
      <x:c r="A192" s="68" t="str">
        <x:f t="shared" si="5"/>
      </x:c>
      <x:c r="B192" s="64"/>
      <x:c r="C192" s="70"/>
      <x:c r="D192" s="72"/>
      <x:c r="E192" s="64"/>
      <x:c r="F192" s="64"/>
      <x:c r="G192" s="64"/>
      <x:c r="H192" s="64"/>
    </x:row>
    <x:row r="193" ht="20" customHeight="1">
      <x:c r="A193" s="68" t="str">
        <x:f t="shared" si="5"/>
      </x:c>
      <x:c r="B193" s="64"/>
      <x:c r="C193" s="70"/>
      <x:c r="D193" s="72"/>
      <x:c r="E193" s="64"/>
      <x:c r="F193" s="64"/>
      <x:c r="G193" s="64"/>
      <x:c r="H193" s="64"/>
    </x:row>
    <x:row r="194" ht="20" customHeight="1">
      <x:c r="A194" s="68" t="str">
        <x:f t="shared" si="5"/>
      </x:c>
      <x:c r="B194" s="64"/>
      <x:c r="C194" s="70"/>
      <x:c r="D194" s="72"/>
      <x:c r="E194" s="64"/>
      <x:c r="F194" s="64"/>
      <x:c r="G194" s="64"/>
      <x:c r="H194" s="64"/>
    </x:row>
    <x:row r="195" ht="20" customHeight="1">
      <x:c r="A195" s="68" t="str">
        <x:f t="shared" si="5"/>
      </x:c>
      <x:c r="B195" s="64"/>
      <x:c r="C195" s="70"/>
      <x:c r="D195" s="72"/>
      <x:c r="E195" s="64"/>
      <x:c r="F195" s="64"/>
      <x:c r="G195" s="64"/>
      <x:c r="H195" s="64"/>
    </x:row>
    <x:row r="196" ht="20" customHeight="1">
      <x:c r="A196" s="68" t="str">
        <x:f t="shared" ref="A196:A203" si="6">IF(B196="","",ROW()-3)</x:f>
      </x:c>
      <x:c r="B196" s="64"/>
      <x:c r="C196" s="70"/>
      <x:c r="D196" s="72"/>
      <x:c r="E196" s="64"/>
      <x:c r="F196" s="64"/>
      <x:c r="G196" s="64"/>
      <x:c r="H196" s="64"/>
    </x:row>
    <x:row r="197" ht="20" customHeight="1">
      <x:c r="A197" s="68" t="str">
        <x:f t="shared" si="6"/>
      </x:c>
      <x:c r="B197" s="64"/>
      <x:c r="C197" s="70"/>
      <x:c r="D197" s="72"/>
      <x:c r="E197" s="64"/>
      <x:c r="F197" s="64"/>
      <x:c r="G197" s="64"/>
      <x:c r="H197" s="64"/>
    </x:row>
    <x:row r="198" ht="20" customHeight="1">
      <x:c r="A198" s="68" t="str">
        <x:f t="shared" si="6"/>
      </x:c>
      <x:c r="B198" s="64"/>
      <x:c r="C198" s="70"/>
      <x:c r="D198" s="72"/>
      <x:c r="E198" s="64"/>
      <x:c r="F198" s="64"/>
      <x:c r="G198" s="64"/>
      <x:c r="H198" s="64"/>
    </x:row>
    <x:row r="199" ht="20" customHeight="1">
      <x:c r="A199" s="68" t="str">
        <x:f t="shared" si="6"/>
      </x:c>
      <x:c r="B199" s="64"/>
      <x:c r="C199" s="70"/>
      <x:c r="D199" s="72"/>
      <x:c r="E199" s="64"/>
      <x:c r="F199" s="64"/>
      <x:c r="G199" s="64"/>
      <x:c r="H199" s="64"/>
    </x:row>
    <x:row r="200" ht="20" customHeight="1">
      <x:c r="A200" s="68" t="str">
        <x:f t="shared" si="6"/>
      </x:c>
      <x:c r="B200" s="64"/>
      <x:c r="C200" s="70"/>
      <x:c r="D200" s="72"/>
      <x:c r="E200" s="64"/>
      <x:c r="F200" s="64"/>
      <x:c r="G200" s="64"/>
      <x:c r="H200" s="64"/>
    </x:row>
    <x:row r="201" ht="20" customHeight="1">
      <x:c r="A201" s="68" t="str">
        <x:f t="shared" si="6"/>
      </x:c>
      <x:c r="B201" s="64"/>
      <x:c r="C201" s="70"/>
      <x:c r="D201" s="72"/>
      <x:c r="E201" s="64"/>
      <x:c r="F201" s="64"/>
      <x:c r="G201" s="64"/>
      <x:c r="H201" s="64"/>
    </x:row>
    <x:row r="202" ht="20" customHeight="1">
      <x:c r="A202" s="68" t="str">
        <x:f t="shared" si="6"/>
      </x:c>
      <x:c r="B202" s="64"/>
      <x:c r="C202" s="70"/>
      <x:c r="D202" s="72"/>
      <x:c r="E202" s="64"/>
      <x:c r="F202" s="64"/>
      <x:c r="G202" s="64"/>
      <x:c r="H202" s="64"/>
    </x:row>
    <x:row r="203" ht="20" customHeight="1">
      <x:c r="A203" s="68" t="str">
        <x:f t="shared" si="6"/>
      </x:c>
      <x:c r="B203" s="64"/>
      <x:c r="C203" s="70"/>
      <x:c r="D203" s="72"/>
      <x:c r="E203" s="64"/>
      <x:c r="F203" s="64"/>
      <x:c r="G203" s="64"/>
      <x:c r="H203" s="64"/>
    </x:row>
  </x:sheetData>
  <x:mergeCells>
    <x:mergeCell ref="A2:H2"/>
    <x:mergeCell ref="A1:H1"/>
  </x:mergeCells>
  <x:conditionalFormatting sqref="G4:G203">
    <x:cfRule type="expression" dxfId="6" priority="1">
      <x:formula>OR(G4="Recebido",G4="Pago",G4="Realizado",G4="Ativo",G4="Concluído")</x:formula>
    </x:cfRule>
    <x:cfRule type="expression" dxfId="7" priority="2">
      <x:formula>OR(G4="Pendente",G4="Retorno Pendente",G4="Em andamento",G4="Agendado")</x:formula>
    </x:cfRule>
    <x:cfRule type="expression" dxfId="8" priority="3">
      <x:formula>OR(G4="Cancelado",G4="Faltou")</x:formula>
    </x:cfRule>
    <x:cfRule type="expression" dxfId="9" priority="4">
      <x:formula>OR(G4="Inativo",G4="Em Pausa")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3.800000190734863"/>
  <x:cols>
    <x:col min="1" max="1" width="10" hidden="0" customWidth="1"/>
    <x:col min="2" max="2" width="23" hidden="0" customWidth="1"/>
    <x:col min="3" max="3" width="11" hidden="0" customWidth="1"/>
    <x:col min="4" max="4" width="15" hidden="0" customWidth="1"/>
    <x:col min="5" max="5" width="19" hidden="0" customWidth="1"/>
    <x:col min="6" max="6" width="13" hidden="0" customWidth="1"/>
    <x:col min="7" max="8" width="15" customWidth="1"/>
    <x:col min="9" max="9" width="18" hidden="0" customWidth="1"/>
    <x:col min="10" max="10" width="13" hidden="0" customWidth="1"/>
    <x:col min="11" max="12" width="15" customWidth="1"/>
    <x:col min="13" max="13" width="12" hidden="0" customWidth="1"/>
    <x:col min="14" max="14" width="13" hidden="0" customWidth="1"/>
    <x:col min="15" max="15" width="18" hidden="0" customWidth="1"/>
    <x:col min="16" max="16" width="13" hidden="0" customWidth="1"/>
    <x:col min="17" max="17" width="13" hidden="0" customWidth="1"/>
    <x:col min="7" max="7" width="14" hidden="0" customWidth="1"/>
    <x:col min="8" max="8" width="14" hidden="0" customWidth="1"/>
    <x:col min="11" max="11" width="14" hidden="0" customWidth="1"/>
    <x:col min="12" max="12" width="14" hidden="0" customWidth="1"/>
  </x:cols>
  <x:sheetData>
    <x:row r="1" ht="30" customHeight="1">
      <x:c r="A1" s="38" t="s">
        <x:v>44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</x:row>
    <x:row r="2" ht="24" customHeight="1">
      <x:c r="A2" s="44" t="str">
        <x:v>Escolha o paciente e preencha as células em verde-claro. Preços, desconto PIX e consultas realizadas/restantes são automáticos.</x:v>
      </x:c>
      <x:c r="B2" s="44"/>
      <x:c r="C2" s="44"/>
      <x:c r="D2" s="44"/>
      <x:c r="E2" s="44"/>
      <x:c r="F2" s="44"/>
      <x:c r="G2" s="44"/>
      <x:c r="H2" s="44"/>
      <x:c r="I2" s="44"/>
      <x:c r="J2" s="76"/>
      <x:c r="K2" s="76"/>
      <x:c r="L2" s="76"/>
      <x:c r="M2" s="76"/>
      <x:c r="N2" s="76"/>
      <x:c r="O2" s="76"/>
      <x:c r="P2" s="76"/>
      <x:c r="Q2" s="76"/>
    </x:row>
    <x:row r="3" ht="30" customHeight="1">
      <x:c r="A3" s="49" t="s">
        <x:v>45</x:v>
      </x:c>
      <x:c r="B3" s="49" t="s">
        <x:v>46</x:v>
      </x:c>
      <x:c r="C3" s="49" t="s">
        <x:v>26</x:v>
      </x:c>
      <x:c r="D3" s="49" t="s">
        <x:v>47</x:v>
      </x:c>
      <x:c r="E3" s="49" t="s">
        <x:v>48</x:v>
      </x:c>
      <x:c r="F3" s="49" t="s">
        <x:v>49</x:v>
      </x:c>
      <x:c r="G3" s="49" t="s">
        <x:v>50</x:v>
      </x:c>
      <x:c r="H3" s="49" t="s">
        <x:v>51</x:v>
      </x:c>
      <x:c r="I3" s="49" t="s">
        <x:v>52</x:v>
      </x:c>
      <x:c r="J3" s="49" t="s">
        <x:v>53</x:v>
      </x:c>
      <x:c r="K3" s="49" t="s">
        <x:v>54</x:v>
      </x:c>
      <x:c r="L3" s="49" t="s">
        <x:v>55</x:v>
      </x:c>
      <x:c r="M3" s="49" t="s">
        <x:v>56</x:v>
      </x:c>
      <x:c r="N3" s="49" t="s">
        <x:v>57</x:v>
      </x:c>
      <x:c r="O3" s="49" t="s">
        <x:v>58</x:v>
      </x:c>
      <x:c r="P3" s="49" t="s">
        <x:v>59</x:v>
      </x:c>
      <x:c r="Q3" s="49" t="s">
        <x:v>60</x:v>
      </x:c>
    </x:row>
    <x:row r="4" ht="20" customHeight="1">
      <x:c r="A4" s="96" t="n">
        <x:f t="shared" ref="A4:A35" si="0">IF(B4="","",ROW()-3)</x:f>
        <x:v>1</x:v>
      </x:c>
      <x:c r="B4" s="64" t="str">
        <x:v>Paciente 001</x:v>
      </x:c>
      <x:c r="C4" s="96" t="n">
        <x:f>IF(B4="","",IFERROR(INDEX(Pacientes!$A$4:$A$203,MATCH(B4,Pacientes!$B$4:$B$203,0)),""))</x:f>
        <x:v>1</x:v>
      </x:c>
      <x:c r="D4" s="72">
        <x:v>46269</x:v>
      </x:c>
      <x:c r="E4" s="64" t="s">
        <x:v>61</x:v>
      </x:c>
      <x:c r="F4" s="70">
        <x:v>2</x:v>
      </x:c>
      <x:c r="G4" s="92" t="n">
        <x:f>IF(E4="","",IF(E4="Consulta Avulsa",Configuracoes!$B$4,IF(E4="Plano Quinzenal",Configuracoes!$B$5,IF(E4="Plano Semanal",Configuracoes!$B$6,""))))</x:f>
        <x:v>270</x:v>
      </x:c>
      <x:c r="H4" s="92" t="n">
        <x:f t="shared" ref="H4:H35" si="1">IF(OR(F4="",G4=""),"",F4*G4)</x:f>
        <x:v>540</x:v>
      </x:c>
      <x:c r="I4" s="64" t="s">
        <x:v>62</x:v>
      </x:c>
      <x:c r="J4" s="94" t="n">
        <x:f>IF(I4="PIX",Configuracoes!$E$4,0)</x:f>
        <x:v>0.1</x:v>
      </x:c>
      <x:c r="K4" s="92" t="n">
        <x:f t="shared" ref="K4:K35" si="2">IF(H4="","",H4*J4)</x:f>
        <x:v>54</x:v>
      </x:c>
      <x:c r="L4" s="92" t="n">
        <x:f t="shared" ref="L4:L35" si="3">IF(H4="","",H4-K4)</x:f>
        <x:v>486</x:v>
      </x:c>
      <x:c r="M4" s="70">
        <x:v>0</x:v>
      </x:c>
      <x:c r="N4" s="72">
        <x:v>46269</x:v>
      </x:c>
      <x:c r="O4" s="64" t="s">
        <x:v>63</x:v>
      </x:c>
      <x:c r="P4" s="96" t="n">
        <x:f>IF(A4="","",COUNTIFS(Atendimentos!$B$4:$B$403,A4,Atendimentos!$H$4:$H$403,"Realizado"))</x:f>
        <x:v>1</x:v>
      </x:c>
      <x:c r="Q4" s="96" t="n">
        <x:f t="shared" ref="Q4:Q35" si="4">IF(F4="","",MAX(F4-P4,0))</x:f>
        <x:v>1</x:v>
      </x:c>
    </x:row>
    <x:row r="5" ht="20" customHeight="1">
      <x:c r="A5" s="96">
        <x:f t="shared" si="0"/>
        <x:v>2</x:v>
      </x:c>
      <x:c r="B5" s="64" t="str">
        <x:v>Paciente 002</x:v>
      </x:c>
      <x:c r="C5" s="96" t="n">
        <x:f>IF(B5="","",IFERROR(INDEX(Pacientes!$A$4:$A$203,MATCH(B5,Pacientes!$B$4:$B$203,0)),""))</x:f>
        <x:v>2</x:v>
      </x:c>
      <x:c r="D5" s="72">
        <x:v>46268</x:v>
      </x:c>
      <x:c r="E5" s="64" t="s">
        <x:v>64</x:v>
      </x:c>
      <x:c r="F5" s="70">
        <x:v>8</x:v>
      </x:c>
      <x:c r="G5" s="92" t="n">
        <x:f>IF(E5="","",IF(E5="Consulta Avulsa",Configuracoes!$B$4,IF(E5="Plano Quinzenal",Configuracoes!$B$5,IF(E5="Plano Semanal",Configuracoes!$B$6,""))))</x:f>
        <x:v>180</x:v>
      </x:c>
      <x:c r="H5" s="92">
        <x:f t="shared" si="1"/>
        <x:v>1440</x:v>
      </x:c>
      <x:c r="I5" s="64" t="s">
        <x:v>65</x:v>
      </x:c>
      <x:c r="J5" s="94" t="n">
        <x:f>IF(I5="PIX",Configuracoes!$E$4,0)</x:f>
        <x:v>0</x:v>
      </x:c>
      <x:c r="K5" s="92">
        <x:f t="shared" si="2"/>
        <x:v>0</x:v>
      </x:c>
      <x:c r="L5" s="92">
        <x:f t="shared" si="3"/>
        <x:v>1440</x:v>
      </x:c>
      <x:c r="M5" s="70">
        <x:v>2</x:v>
      </x:c>
      <x:c r="N5" s="72">
        <x:v>46268</x:v>
      </x:c>
      <x:c r="O5" s="64" t="s">
        <x:v>66</x:v>
      </x:c>
      <x:c r="P5" s="96" t="n">
        <x:f>IF(A5="","",COUNTIFS(Atendimentos!$B$4:$B$403,A5,Atendimentos!$H$4:$H$403,"Realizado"))</x:f>
        <x:v>1</x:v>
      </x:c>
      <x:c r="Q5" s="96">
        <x:f t="shared" si="4"/>
        <x:v>7</x:v>
      </x:c>
    </x:row>
    <x:row r="6" ht="20" customHeight="1">
      <x:c r="A6" s="96">
        <x:f t="shared" si="0"/>
        <x:v>3</x:v>
      </x:c>
      <x:c r="B6" s="64" t="str">
        <x:v>Paciente 003</x:v>
      </x:c>
      <x:c r="C6" s="96" t="n">
        <x:f>IF(B6="","",IFERROR(INDEX(Pacientes!$A$4:$A$203,MATCH(B6,Pacientes!$B$4:$B$203,0)),""))</x:f>
        <x:v>3</x:v>
      </x:c>
      <x:c r="D6" s="72">
        <x:v>45901</x:v>
      </x:c>
      <x:c r="E6" s="64" t="s">
        <x:v>64</x:v>
      </x:c>
      <x:c r="F6" s="70">
        <x:v>24</x:v>
      </x:c>
      <x:c r="G6" s="92" t="n">
        <x:f>IF(E6="","",IF(E6="Consulta Avulsa",Configuracoes!$B$4,IF(E6="Plano Quinzenal",Configuracoes!$B$5,IF(E6="Plano Semanal",Configuracoes!$B$6,""))))</x:f>
        <x:v>180</x:v>
      </x:c>
      <x:c r="H6" s="92">
        <x:f t="shared" si="1"/>
        <x:v>4320</x:v>
      </x:c>
      <x:c r="I6" s="64" t="s">
        <x:v>67</x:v>
      </x:c>
      <x:c r="J6" s="94" t="n">
        <x:f>IF(I6="PIX",Configuracoes!$E$4,0)</x:f>
        <x:v>0</x:v>
      </x:c>
      <x:c r="K6" s="92">
        <x:f t="shared" si="2"/>
        <x:v>0</x:v>
      </x:c>
      <x:c r="L6" s="92">
        <x:f t="shared" si="3"/>
        <x:v>4320</x:v>
      </x:c>
      <x:c r="M6" s="70"/>
      <x:c r="N6" s="72">
        <x:v>45901</x:v>
      </x:c>
      <x:c r="O6" s="64" t="s">
        <x:v>66</x:v>
      </x:c>
      <x:c r="P6" s="96" t="n">
        <x:f>IF(A6="","",COUNTIFS(Atendimentos!$B$4:$B$403,A6,Atendimentos!$H$4:$H$403,"Realizado"))</x:f>
        <x:v>23</x:v>
      </x:c>
      <x:c r="Q6" s="96">
        <x:f t="shared" si="4"/>
        <x:v>1</x:v>
      </x:c>
    </x:row>
    <x:row r="7" ht="20" customHeight="1">
      <x:c r="A7" s="96">
        <x:f t="shared" si="0"/>
        <x:v>4</x:v>
      </x:c>
      <x:c r="B7" s="64" t="str">
        <x:v>Paciente 004</x:v>
      </x:c>
      <x:c r="C7" s="96" t="n">
        <x:f>IF(B7="","",IFERROR(INDEX(Pacientes!$A$4:$A$203,MATCH(B7,Pacientes!$B$4:$B$203,0)),""))</x:f>
        <x:v>4</x:v>
      </x:c>
      <x:c r="D7" s="72">
        <x:v>45772</x:v>
      </x:c>
      <x:c r="E7" s="64" t="s">
        <x:v>61</x:v>
      </x:c>
      <x:c r="F7" s="70">
        <x:v>15</x:v>
      </x:c>
      <x:c r="G7" s="92" t="n">
        <x:f>IF(E7="","",IF(E7="Consulta Avulsa",Configuracoes!$B$4,IF(E7="Plano Quinzenal",Configuracoes!$B$5,IF(E7="Plano Semanal",Configuracoes!$B$6,""))))</x:f>
        <x:v>270</x:v>
      </x:c>
      <x:c r="H7" s="92">
        <x:f t="shared" si="1"/>
        <x:v>4050</x:v>
      </x:c>
      <x:c r="I7" s="64" t="s">
        <x:v>68</x:v>
      </x:c>
      <x:c r="J7" s="94" t="n">
        <x:f>IF(I7="PIX",Configuracoes!$E$4,0)</x:f>
        <x:v>0</x:v>
      </x:c>
      <x:c r="K7" s="92">
        <x:f t="shared" si="2"/>
        <x:v>0</x:v>
      </x:c>
      <x:c r="L7" s="92">
        <x:f t="shared" si="3"/>
        <x:v>4050</x:v>
      </x:c>
      <x:c r="M7" s="70"/>
      <x:c r="N7" s="72">
        <x:v>45772</x:v>
      </x:c>
      <x:c r="O7" s="64" t="s">
        <x:v>63</x:v>
      </x:c>
      <x:c r="P7" s="96" t="n">
        <x:f>IF(A7="","",COUNTIFS(Atendimentos!$B$4:$B$403,A7,Atendimentos!$H$4:$H$403,"Realizado"))</x:f>
        <x:v>15</x:v>
      </x:c>
      <x:c r="Q7" s="96">
        <x:f t="shared" si="4"/>
        <x:v>0</x:v>
      </x:c>
    </x:row>
    <x:row r="8" ht="20" customHeight="1">
      <x:c r="A8" s="96">
        <x:f t="shared" si="0"/>
        <x:v>5</x:v>
      </x:c>
      <x:c r="B8" s="64" t="str">
        <x:v>Paciente 005</x:v>
      </x:c>
      <x:c r="C8" s="96" t="n">
        <x:f>IF(B8="","",IFERROR(INDEX(Pacientes!$A$4:$A$203,MATCH(B8,Pacientes!$B$4:$B$203,0)),""))</x:f>
        <x:v>5</x:v>
      </x:c>
      <x:c r="D8" s="72">
        <x:v>45853</x:v>
      </x:c>
      <x:c r="E8" s="64" t="s">
        <x:v>69</x:v>
      </x:c>
      <x:c r="F8" s="70">
        <x:v>30</x:v>
      </x:c>
      <x:c r="G8" s="92" t="n">
        <x:f>IF(E8="","",IF(E8="Consulta Avulsa",Configuracoes!$B$4,IF(E8="Plano Quinzenal",Configuracoes!$B$5,IF(E8="Plano Semanal",Configuracoes!$B$6,""))))</x:f>
        <x:v>81</x:v>
      </x:c>
      <x:c r="H8" s="92">
        <x:f t="shared" si="1"/>
        <x:v>2430</x:v>
      </x:c>
      <x:c r="I8" s="64" t="s">
        <x:v>62</x:v>
      </x:c>
      <x:c r="J8" s="94" t="n">
        <x:f>IF(I8="PIX",Configuracoes!$E$4,0)</x:f>
        <x:v>0.1</x:v>
      </x:c>
      <x:c r="K8" s="92">
        <x:f t="shared" si="2"/>
        <x:v>243</x:v>
      </x:c>
      <x:c r="L8" s="92">
        <x:f t="shared" si="3"/>
        <x:v>2187</x:v>
      </x:c>
      <x:c r="M8" s="70"/>
      <x:c r="N8" s="72">
        <x:v>45853</x:v>
      </x:c>
      <x:c r="O8" s="64" t="s">
        <x:v>63</x:v>
      </x:c>
      <x:c r="P8" s="96" t="n">
        <x:f>IF(A8="","",COUNTIFS(Atendimentos!$B$4:$B$403,A8,Atendimentos!$H$4:$H$403,"Realizado"))</x:f>
        <x:v>29</x:v>
      </x:c>
      <x:c r="Q8" s="96">
        <x:f t="shared" si="4"/>
        <x:v>1</x:v>
      </x:c>
    </x:row>
    <x:row r="9" ht="20" customHeight="1">
      <x:c r="A9" s="96">
        <x:f t="shared" si="0"/>
        <x:v>6</x:v>
      </x:c>
      <x:c r="B9" s="64" t="str">
        <x:v>Paciente 006</x:v>
      </x:c>
      <x:c r="C9" s="96" t="n">
        <x:f>IF(B9="","",IFERROR(INDEX(Pacientes!$A$4:$A$203,MATCH(B9,Pacientes!$B$4:$B$203,0)),""))</x:f>
        <x:v>6</x:v>
      </x:c>
      <x:c r="D9" s="72">
        <x:v>46249</x:v>
      </x:c>
      <x:c r="E9" s="64" t="s">
        <x:v>64</x:v>
      </x:c>
      <x:c r="F9" s="70">
        <x:v>10</x:v>
      </x:c>
      <x:c r="G9" s="92" t="n">
        <x:f>IF(E9="","",IF(E9="Consulta Avulsa",Configuracoes!$B$4,IF(E9="Plano Quinzenal",Configuracoes!$B$5,IF(E9="Plano Semanal",Configuracoes!$B$6,""))))</x:f>
        <x:v>180</x:v>
      </x:c>
      <x:c r="H9" s="92">
        <x:f t="shared" si="1"/>
        <x:v>1800</x:v>
      </x:c>
      <x:c r="I9" s="64" t="s">
        <x:v>65</x:v>
      </x:c>
      <x:c r="J9" s="94" t="n">
        <x:f>IF(I9="PIX",Configuracoes!$E$4,0)</x:f>
        <x:v>0</x:v>
      </x:c>
      <x:c r="K9" s="92">
        <x:f t="shared" si="2"/>
        <x:v>0</x:v>
      </x:c>
      <x:c r="L9" s="92">
        <x:f t="shared" si="3"/>
        <x:v>1800</x:v>
      </x:c>
      <x:c r="M9" s="70">
        <x:v>4</x:v>
      </x:c>
      <x:c r="N9" s="72">
        <x:v>46249</x:v>
      </x:c>
      <x:c r="O9" s="64" t="s">
        <x:v>66</x:v>
      </x:c>
      <x:c r="P9" s="96" t="n">
        <x:f>IF(A9="","",COUNTIFS(Atendimentos!$B$4:$B$403,A9,Atendimentos!$H$4:$H$403,"Realizado"))</x:f>
        <x:v>3</x:v>
      </x:c>
      <x:c r="Q9" s="96">
        <x:f t="shared" si="4"/>
        <x:v>7</x:v>
      </x:c>
    </x:row>
    <x:row r="10" ht="20" customHeight="1">
      <x:c r="A10" s="96">
        <x:f t="shared" si="0"/>
        <x:v>7</x:v>
      </x:c>
      <x:c r="B10" s="64" t="str">
        <x:v>Paciente 007</x:v>
      </x:c>
      <x:c r="C10" s="96" t="n">
        <x:f>IF(B10="","",IFERROR(INDEX(Pacientes!$A$4:$A$203,MATCH(B10,Pacientes!$B$4:$B$203,0)),""))</x:f>
        <x:v>7</x:v>
      </x:c>
      <x:c r="D10" s="72">
        <x:v>45721</x:v>
      </x:c>
      <x:c r="E10" s="64" t="s">
        <x:v>61</x:v>
      </x:c>
      <x:c r="F10" s="70">
        <x:v>16</x:v>
      </x:c>
      <x:c r="G10" s="92" t="n">
        <x:f>IF(E10="","",IF(E10="Consulta Avulsa",Configuracoes!$B$4,IF(E10="Plano Quinzenal",Configuracoes!$B$5,IF(E10="Plano Semanal",Configuracoes!$B$6,""))))</x:f>
        <x:v>270</x:v>
      </x:c>
      <x:c r="H10" s="92">
        <x:f t="shared" si="1"/>
        <x:v>4320</x:v>
      </x:c>
      <x:c r="I10" s="64" t="s">
        <x:v>62</x:v>
      </x:c>
      <x:c r="J10" s="94" t="n">
        <x:f>IF(I10="PIX",Configuracoes!$E$4,0)</x:f>
        <x:v>0.1</x:v>
      </x:c>
      <x:c r="K10" s="92">
        <x:f t="shared" si="2"/>
        <x:v>432</x:v>
      </x:c>
      <x:c r="L10" s="92">
        <x:f t="shared" si="3"/>
        <x:v>3888</x:v>
      </x:c>
      <x:c r="M10" s="70"/>
      <x:c r="N10" s="72">
        <x:v>45721</x:v>
      </x:c>
      <x:c r="O10" s="64" t="s">
        <x:v>63</x:v>
      </x:c>
      <x:c r="P10" s="96" t="n">
        <x:f>IF(A10="","",COUNTIFS(Atendimentos!$B$4:$B$403,A10,Atendimentos!$H$4:$H$403,"Realizado"))</x:f>
        <x:v>16</x:v>
      </x:c>
      <x:c r="Q10" s="96">
        <x:f t="shared" si="4"/>
        <x:v>0</x:v>
      </x:c>
    </x:row>
    <x:row r="11" ht="20" customHeight="1">
      <x:c r="A11" s="96">
        <x:f t="shared" si="0"/>
        <x:v>8</x:v>
      </x:c>
      <x:c r="B11" s="64" t="str">
        <x:v>Paciente 008</x:v>
      </x:c>
      <x:c r="C11" s="96" t="n">
        <x:f>IF(B11="","",IFERROR(INDEX(Pacientes!$A$4:$A$203,MATCH(B11,Pacientes!$B$4:$B$203,0)),""))</x:f>
        <x:v>8</x:v>
      </x:c>
      <x:c r="D11" s="72">
        <x:v>45802</x:v>
      </x:c>
      <x:c r="E11" s="64" t="s">
        <x:v>64</x:v>
      </x:c>
      <x:c r="F11" s="70">
        <x:v>32</x:v>
      </x:c>
      <x:c r="G11" s="92" t="n">
        <x:f>IF(E11="","",IF(E11="Consulta Avulsa",Configuracoes!$B$4,IF(E11="Plano Quinzenal",Configuracoes!$B$5,IF(E11="Plano Semanal",Configuracoes!$B$6,""))))</x:f>
        <x:v>180</x:v>
      </x:c>
      <x:c r="H11" s="92">
        <x:f t="shared" si="1"/>
        <x:v>5760</x:v>
      </x:c>
      <x:c r="I11" s="64" t="s">
        <x:v>68</x:v>
      </x:c>
      <x:c r="J11" s="94" t="n">
        <x:f>IF(I11="PIX",Configuracoes!$E$4,0)</x:f>
        <x:v>0</x:v>
      </x:c>
      <x:c r="K11" s="92">
        <x:f t="shared" si="2"/>
        <x:v>0</x:v>
      </x:c>
      <x:c r="L11" s="92">
        <x:f t="shared" si="3"/>
        <x:v>5760</x:v>
      </x:c>
      <x:c r="M11" s="70"/>
      <x:c r="N11" s="72">
        <x:v>45802</x:v>
      </x:c>
      <x:c r="O11" s="64" t="s">
        <x:v>63</x:v>
      </x:c>
      <x:c r="P11" s="96" t="n">
        <x:f>IF(A11="","",COUNTIFS(Atendimentos!$B$4:$B$403,A11,Atendimentos!$H$4:$H$403,"Realizado"))</x:f>
        <x:v>32</x:v>
      </x:c>
      <x:c r="Q11" s="96">
        <x:f t="shared" si="4"/>
        <x:v>0</x:v>
      </x:c>
    </x:row>
    <x:row r="12" ht="20" customHeight="1">
      <x:c r="A12" s="96" t="n">
        <x:f>IF(B12="","",ROW()-3)</x:f>
        <x:v>9</x:v>
      </x:c>
      <x:c r="B12" s="64" t="str">
        <x:v>Paciente 009</x:v>
      </x:c>
      <x:c r="C12" s="96" t="n">
        <x:f>IF(B12="","",IFERROR(INDEX(Pacientes!$A$4:$A$203,MATCH(B12,Pacientes!$B$4:$B$203,0)),""))</x:f>
        <x:v>9</x:v>
      </x:c>
      <x:c r="D12" s="72">
        <x:v>46082</x:v>
      </x:c>
      <x:c r="E12" s="64" t="s">
        <x:v>61</x:v>
      </x:c>
      <x:c r="F12" s="70">
        <x:v>4</x:v>
      </x:c>
      <x:c r="G12" s="92" t="n">
        <x:f>IF(E12="","",IF(E12="Consulta Avulsa",Configuracoes!$B$4,IF(E12="Plano Quinzenal",Configuracoes!$B$5,IF(E12="Plano Semanal",Configuracoes!$B$6,""))))</x:f>
        <x:v>270</x:v>
      </x:c>
      <x:c r="H12" s="92">
        <x:f t="shared" si="1"/>
        <x:v>1080</x:v>
      </x:c>
      <x:c r="I12" s="64" t="s">
        <x:v>67</x:v>
      </x:c>
      <x:c r="J12" s="94" t="n">
        <x:f>IF(I12="PIX",Configuracoes!$E$4,0)</x:f>
        <x:v>0</x:v>
      </x:c>
      <x:c r="K12" s="92">
        <x:f t="shared" si="2"/>
        <x:v>0</x:v>
      </x:c>
      <x:c r="L12" s="92">
        <x:f t="shared" si="3"/>
        <x:v>1080</x:v>
      </x:c>
      <x:c r="M12" s="70"/>
      <x:c r="N12" s="72">
        <x:v>46082</x:v>
      </x:c>
      <x:c r="O12" s="64" t="s">
        <x:v>63</x:v>
      </x:c>
      <x:c r="P12" s="96" t="n">
        <x:f>IF(A12="","",COUNTIFS(Atendimentos!$B$4:$B$403,A12,Atendimentos!$H$4:$H$403,"Realizado"))</x:f>
        <x:v>3</x:v>
      </x:c>
      <x:c r="Q12" s="96">
        <x:f t="shared" si="4"/>
        <x:v>1</x:v>
      </x:c>
    </x:row>
    <x:row r="13" ht="20" customHeight="1">
      <x:c r="A13" s="96" t="n">
        <x:f>IF(B13="","",ROW()-3)</x:f>
        <x:v>10</x:v>
      </x:c>
      <x:c r="B13" s="64" t="str">
        <x:v>Paciente 010</x:v>
      </x:c>
      <x:c r="C13" s="96" t="n">
        <x:f>IF(B13="","",IFERROR(INDEX(Pacientes!$A$4:$A$203,MATCH(B13,Pacientes!$B$4:$B$203,0)),""))</x:f>
        <x:v>10</x:v>
      </x:c>
      <x:c r="D13" s="72">
        <x:v>46140</x:v>
      </x:c>
      <x:c r="E13" s="64" t="s">
        <x:v>69</x:v>
      </x:c>
      <x:c r="F13" s="70">
        <x:v>20</x:v>
      </x:c>
      <x:c r="G13" s="92" t="n">
        <x:f>IF(E13="","",IF(E13="Consulta Avulsa",Configuracoes!$B$4,IF(E13="Plano Quinzenal",Configuracoes!$B$5,IF(E13="Plano Semanal",Configuracoes!$B$6,""))))</x:f>
        <x:v>81</x:v>
      </x:c>
      <x:c r="H13" s="92">
        <x:f t="shared" si="1"/>
        <x:v>1620</x:v>
      </x:c>
      <x:c r="I13" s="64" t="s">
        <x:v>65</x:v>
      </x:c>
      <x:c r="J13" s="94" t="n">
        <x:f>IF(I13="PIX",Configuracoes!$E$4,0)</x:f>
        <x:v>0</x:v>
      </x:c>
      <x:c r="K13" s="92">
        <x:f t="shared" si="2"/>
        <x:v>0</x:v>
      </x:c>
      <x:c r="L13" s="92">
        <x:f t="shared" si="3"/>
        <x:v>1620</x:v>
      </x:c>
      <x:c r="M13" s="70"/>
      <x:c r="N13" s="72">
        <x:v>46140</x:v>
      </x:c>
      <x:c r="O13" s="64" t="s">
        <x:v>63</x:v>
      </x:c>
      <x:c r="P13" s="96" t="n">
        <x:f>IF(A13="","",COUNTIFS(Atendimentos!$B$4:$B$403,A13,Atendimentos!$H$4:$H$403,"Realizado"))</x:f>
        <x:v>20</x:v>
      </x:c>
      <x:c r="Q13" s="96">
        <x:f t="shared" si="4"/>
        <x:v>0</x:v>
      </x:c>
    </x:row>
    <x:row r="14" ht="20" customHeight="1">
      <x:c r="A14" s="96">
        <x:f t="shared" si="0"/>
        <x:v>11</x:v>
      </x:c>
      <x:c r="B14" s="64" t="str">
        <x:v>Paciente 011</x:v>
      </x:c>
      <x:c r="C14" s="96" t="n">
        <x:f>IF(B14="","",IFERROR(INDEX(Pacientes!$A$4:$A$203,MATCH(B14,Pacientes!$B$4:$B$203,0)),""))</x:f>
        <x:v>11</x:v>
      </x:c>
      <x:c r="D14" s="72">
        <x:v>46267</x:v>
      </x:c>
      <x:c r="E14" s="64" t="s">
        <x:v>61</x:v>
      </x:c>
      <x:c r="F14" s="70">
        <x:v>1</x:v>
      </x:c>
      <x:c r="G14" s="92" t="n">
        <x:f>IF(E14="","",IF(E14="Consulta Avulsa",Configuracoes!$B$4,IF(E14="Plano Quinzenal",Configuracoes!$B$5,IF(E14="Plano Semanal",Configuracoes!$B$6,""))))</x:f>
        <x:v>270</x:v>
      </x:c>
      <x:c r="H14" s="92">
        <x:f t="shared" si="1"/>
        <x:v>270</x:v>
      </x:c>
      <x:c r="I14" s="64" t="s">
        <x:v>62</x:v>
      </x:c>
      <x:c r="J14" s="94" t="n">
        <x:f>IF(I14="PIX",Configuracoes!$E$4,0)</x:f>
        <x:v>0.1</x:v>
      </x:c>
      <x:c r="K14" s="92">
        <x:f t="shared" si="2"/>
        <x:v>27</x:v>
      </x:c>
      <x:c r="L14" s="92">
        <x:f t="shared" si="3"/>
        <x:v>243</x:v>
      </x:c>
      <x:c r="M14" s="70"/>
      <x:c r="N14" s="72">
        <x:v>46267</x:v>
      </x:c>
      <x:c r="O14" s="64" t="s">
        <x:v>63</x:v>
      </x:c>
      <x:c r="P14" s="96" t="n">
        <x:f>IF(A14="","",COUNTIFS(Atendimentos!$B$4:$B$403,A14,Atendimentos!$H$4:$H$403,"Realizado"))</x:f>
        <x:v>1</x:v>
      </x:c>
      <x:c r="Q14" s="96">
        <x:f t="shared" si="4"/>
        <x:v>0</x:v>
      </x:c>
    </x:row>
    <x:row r="15" ht="20" customHeight="1">
      <x:c r="A15" s="96">
        <x:f t="shared" si="0"/>
        <x:v>12</x:v>
      </x:c>
      <x:c r="B15" s="64" t="str">
        <x:v>Paciente 007</x:v>
      </x:c>
      <x:c r="C15" s="96" t="n">
        <x:f>IF(B15="","",IFERROR(INDEX(Pacientes!$A$4:$A$203,MATCH(B15,Pacientes!$B$4:$B$203,0)),""))</x:f>
        <x:v>7</x:v>
      </x:c>
      <x:c r="D15" s="72">
        <x:v>46034</x:v>
      </x:c>
      <x:c r="E15" s="64" t="s">
        <x:v>64</x:v>
      </x:c>
      <x:c r="F15" s="70">
        <x:v>4</x:v>
      </x:c>
      <x:c r="G15" s="92" t="n">
        <x:f>IF(E15="","",IF(E15="Consulta Avulsa",Configuracoes!$B$4,IF(E15="Plano Quinzenal",Configuracoes!$B$5,IF(E15="Plano Semanal",Configuracoes!$B$6,""))))</x:f>
        <x:v>180</x:v>
      </x:c>
      <x:c r="H15" s="92">
        <x:f t="shared" si="1"/>
        <x:v>720</x:v>
      </x:c>
      <x:c r="I15" s="64" t="s">
        <x:v>62</x:v>
      </x:c>
      <x:c r="J15" s="94" t="n">
        <x:f>IF(I15="PIX",Configuracoes!$E$4,0)</x:f>
        <x:v>0.1</x:v>
      </x:c>
      <x:c r="K15" s="92">
        <x:f t="shared" si="2"/>
        <x:v>72</x:v>
      </x:c>
      <x:c r="L15" s="92">
        <x:f t="shared" si="3"/>
        <x:v>648</x:v>
      </x:c>
      <x:c r="M15" s="70">
        <x:v>1</x:v>
      </x:c>
      <x:c r="N15" s="72">
        <x:v>46037</x:v>
      </x:c>
      <x:c r="O15" s="64" t="s">
        <x:v>63</x:v>
      </x:c>
      <x:c r="P15" s="96" t="n">
        <x:f>IF(A15="","",COUNTIFS(Atendimentos!$B$4:$B$403,A15,Atendimentos!$H$4:$H$403,"Realizado"))</x:f>
        <x:v>4</x:v>
      </x:c>
      <x:c r="Q15" s="96">
        <x:f t="shared" si="4"/>
        <x:v>0</x:v>
      </x:c>
    </x:row>
    <x:row r="16" ht="20" customHeight="1">
      <x:c r="A16" s="96">
        <x:f t="shared" si="0"/>
        <x:v>13</x:v>
      </x:c>
      <x:c r="B16" s="64" t="str">
        <x:v>Paciente 008</x:v>
      </x:c>
      <x:c r="C16" s="96" t="n">
        <x:f>IF(B16="","",IFERROR(INDEX(Pacientes!$A$4:$A$203,MATCH(B16,Pacientes!$B$4:$B$203,0)),""))</x:f>
        <x:v>8</x:v>
      </x:c>
      <x:c r="D16" s="72">
        <x:v>46060</x:v>
      </x:c>
      <x:c r="E16" s="64" t="s">
        <x:v>69</x:v>
      </x:c>
      <x:c r="F16" s="70">
        <x:v>8</x:v>
      </x:c>
      <x:c r="G16" s="92" t="n">
        <x:f>IF(E16="","",IF(E16="Consulta Avulsa",Configuracoes!$B$4,IF(E16="Plano Quinzenal",Configuracoes!$B$5,IF(E16="Plano Semanal",Configuracoes!$B$6,""))))</x:f>
        <x:v>81</x:v>
      </x:c>
      <x:c r="H16" s="92">
        <x:f t="shared" si="1"/>
        <x:v>648</x:v>
      </x:c>
      <x:c r="I16" s="64" t="s">
        <x:v>65</x:v>
      </x:c>
      <x:c r="J16" s="94" t="n">
        <x:f>IF(I16="PIX",Configuracoes!$E$4,0)</x:f>
        <x:v>0</x:v>
      </x:c>
      <x:c r="K16" s="92">
        <x:f t="shared" si="2"/>
        <x:v>0</x:v>
      </x:c>
      <x:c r="L16" s="92">
        <x:f t="shared" si="3"/>
        <x:v>648</x:v>
      </x:c>
      <x:c r="M16" s="70">
        <x:v>2</x:v>
      </x:c>
      <x:c r="N16" s="72">
        <x:v>46062</x:v>
      </x:c>
      <x:c r="O16" s="64" t="s">
        <x:v>63</x:v>
      </x:c>
      <x:c r="P16" s="96" t="n">
        <x:f>IF(A16="","",COUNTIFS(Atendimentos!$B$4:$B$403,A16,Atendimentos!$H$4:$H$403,"Realizado"))</x:f>
        <x:v>8</x:v>
      </x:c>
      <x:c r="Q16" s="96">
        <x:f t="shared" si="4"/>
        <x:v>0</x:v>
      </x:c>
    </x:row>
    <x:row r="17" ht="20" customHeight="1">
      <x:c r="A17" s="96">
        <x:f t="shared" si="0"/>
        <x:v>14</x:v>
      </x:c>
      <x:c r="B17" s="64" t="str">
        <x:v>Paciente 005</x:v>
      </x:c>
      <x:c r="C17" s="96" t="n">
        <x:f>IF(B17="","",IFERROR(INDEX(Pacientes!$A$4:$A$203,MATCH(B17,Pacientes!$B$4:$B$203,0)),""))</x:f>
        <x:v>5</x:v>
      </x:c>
      <x:c r="D17" s="72">
        <x:v>46091</x:v>
      </x:c>
      <x:c r="E17" s="64" t="s">
        <x:v>64</x:v>
      </x:c>
      <x:c r="F17" s="70">
        <x:v>4</x:v>
      </x:c>
      <x:c r="G17" s="92" t="n">
        <x:f>IF(E17="","",IF(E17="Consulta Avulsa",Configuracoes!$B$4,IF(E17="Plano Quinzenal",Configuracoes!$B$5,IF(E17="Plano Semanal",Configuracoes!$B$6,""))))</x:f>
        <x:v>180</x:v>
      </x:c>
      <x:c r="H17" s="92">
        <x:f t="shared" si="1"/>
        <x:v>720</x:v>
      </x:c>
      <x:c r="I17" s="64" t="s">
        <x:v>68</x:v>
      </x:c>
      <x:c r="J17" s="94" t="n">
        <x:f>IF(I17="PIX",Configuracoes!$E$4,0)</x:f>
        <x:v>0</x:v>
      </x:c>
      <x:c r="K17" s="92">
        <x:f t="shared" si="2"/>
        <x:v>0</x:v>
      </x:c>
      <x:c r="L17" s="92">
        <x:f t="shared" si="3"/>
        <x:v>720</x:v>
      </x:c>
      <x:c r="M17" s="70">
        <x:v>1</x:v>
      </x:c>
      <x:c r="N17" s="72">
        <x:v>46093</x:v>
      </x:c>
      <x:c r="O17" s="64" t="s">
        <x:v>63</x:v>
      </x:c>
      <x:c r="P17" s="96" t="n">
        <x:f>IF(A17="","",COUNTIFS(Atendimentos!$B$4:$B$403,A17,Atendimentos!$H$4:$H$403,"Realizado"))</x:f>
        <x:v>4</x:v>
      </x:c>
      <x:c r="Q17" s="96">
        <x:f t="shared" si="4"/>
        <x:v>0</x:v>
      </x:c>
    </x:row>
    <x:row r="18" ht="20" customHeight="1">
      <x:c r="A18" s="96">
        <x:f t="shared" si="0"/>
        <x:v>15</x:v>
      </x:c>
      <x:c r="B18" s="64" t="str">
        <x:v>Paciente 004</x:v>
      </x:c>
      <x:c r="C18" s="96" t="n">
        <x:f>IF(B18="","",IFERROR(INDEX(Pacientes!$A$4:$A$203,MATCH(B18,Pacientes!$B$4:$B$203,0)),""))</x:f>
        <x:v>4</x:v>
      </x:c>
      <x:c r="D18" s="72">
        <x:v>46118</x:v>
      </x:c>
      <x:c r="E18" s="64" t="s">
        <x:v>61</x:v>
      </x:c>
      <x:c r="F18" s="70">
        <x:v>1</x:v>
      </x:c>
      <x:c r="G18" s="92" t="n">
        <x:f>IF(E18="","",IF(E18="Consulta Avulsa",Configuracoes!$B$4,IF(E18="Plano Quinzenal",Configuracoes!$B$5,IF(E18="Plano Semanal",Configuracoes!$B$6,""))))</x:f>
        <x:v>270</x:v>
      </x:c>
      <x:c r="H18" s="92">
        <x:f t="shared" si="1"/>
        <x:v>270</x:v>
      </x:c>
      <x:c r="I18" s="64" t="s">
        <x:v>67</x:v>
      </x:c>
      <x:c r="J18" s="94" t="n">
        <x:f>IF(I18="PIX",Configuracoes!$E$4,0)</x:f>
        <x:v>0</x:v>
      </x:c>
      <x:c r="K18" s="92">
        <x:f t="shared" si="2"/>
        <x:v>0</x:v>
      </x:c>
      <x:c r="L18" s="92">
        <x:f t="shared" si="3"/>
        <x:v>270</x:v>
      </x:c>
      <x:c r="M18" s="70">
        <x:v>1</x:v>
      </x:c>
      <x:c r="N18" s="72">
        <x:v>46120</x:v>
      </x:c>
      <x:c r="O18" s="64" t="s">
        <x:v>63</x:v>
      </x:c>
      <x:c r="P18" s="96" t="n">
        <x:f>IF(A18="","",COUNTIFS(Atendimentos!$B$4:$B$403,A18,Atendimentos!$H$4:$H$403,"Realizado"))</x:f>
        <x:v>1</x:v>
      </x:c>
      <x:c r="Q18" s="96">
        <x:f t="shared" si="4"/>
        <x:v>0</x:v>
      </x:c>
    </x:row>
    <x:row r="19" ht="20" customHeight="1">
      <x:c r="A19" s="96">
        <x:f t="shared" si="0"/>
        <x:v>16</x:v>
      </x:c>
      <x:c r="B19" s="64" t="str">
        <x:v>Paciente 010</x:v>
      </x:c>
      <x:c r="C19" s="96" t="n">
        <x:f>IF(B19="","",IFERROR(INDEX(Pacientes!$A$4:$A$203,MATCH(B19,Pacientes!$B$4:$B$203,0)),""))</x:f>
        <x:v>10</x:v>
      </x:c>
      <x:c r="D19" s="72">
        <x:v>46156</x:v>
      </x:c>
      <x:c r="E19" s="64" t="s">
        <x:v>69</x:v>
      </x:c>
      <x:c r="F19" s="70">
        <x:v>4</x:v>
      </x:c>
      <x:c r="G19" s="92" t="n">
        <x:f>IF(E19="","",IF(E19="Consulta Avulsa",Configuracoes!$B$4,IF(E19="Plano Quinzenal",Configuracoes!$B$5,IF(E19="Plano Semanal",Configuracoes!$B$6,""))))</x:f>
        <x:v>81</x:v>
      </x:c>
      <x:c r="H19" s="92">
        <x:f t="shared" si="1"/>
        <x:v>324</x:v>
      </x:c>
      <x:c r="I19" s="64" t="s">
        <x:v>62</x:v>
      </x:c>
      <x:c r="J19" s="94" t="n">
        <x:f>IF(I19="PIX",Configuracoes!$E$4,0)</x:f>
        <x:v>0.1</x:v>
      </x:c>
      <x:c r="K19" s="92">
        <x:f t="shared" si="2"/>
        <x:v>32.4</x:v>
      </x:c>
      <x:c r="L19" s="92">
        <x:f t="shared" si="3"/>
        <x:v>291.60000000000002</x:v>
      </x:c>
      <x:c r="M19" s="70">
        <x:v>1</x:v>
      </x:c>
      <x:c r="N19" s="72">
        <x:v>46158</x:v>
      </x:c>
      <x:c r="O19" s="64" t="s">
        <x:v>63</x:v>
      </x:c>
      <x:c r="P19" s="96" t="n">
        <x:f>IF(A19="","",COUNTIFS(Atendimentos!$B$4:$B$403,A19,Atendimentos!$H$4:$H$403,"Realizado"))</x:f>
        <x:v>4</x:v>
      </x:c>
      <x:c r="Q19" s="96">
        <x:f t="shared" si="4"/>
        <x:v>0</x:v>
      </x:c>
    </x:row>
    <x:row r="20" ht="20" customHeight="1">
      <x:c r="A20" s="96">
        <x:f t="shared" si="0"/>
        <x:v>17</x:v>
      </x:c>
      <x:c r="B20" s="64" t="str">
        <x:v>Paciente 009</x:v>
      </x:c>
      <x:c r="C20" s="96" t="n">
        <x:f>IF(B20="","",IFERROR(INDEX(Pacientes!$A$4:$A$203,MATCH(B20,Pacientes!$B$4:$B$203,0)),""))</x:f>
        <x:v>9</x:v>
      </x:c>
      <x:c r="D20" s="72">
        <x:v>46176</x:v>
      </x:c>
      <x:c r="E20" s="64" t="s">
        <x:v>64</x:v>
      </x:c>
      <x:c r="F20" s="70">
        <x:v>4</x:v>
      </x:c>
      <x:c r="G20" s="92" t="n">
        <x:f>IF(E20="","",IF(E20="Consulta Avulsa",Configuracoes!$B$4,IF(E20="Plano Quinzenal",Configuracoes!$B$5,IF(E20="Plano Semanal",Configuracoes!$B$6,""))))</x:f>
        <x:v>180</x:v>
      </x:c>
      <x:c r="H20" s="92">
        <x:f t="shared" si="1"/>
        <x:v>720</x:v>
      </x:c>
      <x:c r="I20" s="64" t="s">
        <x:v>65</x:v>
      </x:c>
      <x:c r="J20" s="94" t="n">
        <x:f>IF(I20="PIX",Configuracoes!$E$4,0)</x:f>
        <x:v>0</x:v>
      </x:c>
      <x:c r="K20" s="92">
        <x:f t="shared" si="2"/>
        <x:v>0</x:v>
      </x:c>
      <x:c r="L20" s="92">
        <x:f t="shared" si="3"/>
        <x:v>720</x:v>
      </x:c>
      <x:c r="M20" s="70">
        <x:v>4</x:v>
      </x:c>
      <x:c r="N20" s="72">
        <x:v>46178</x:v>
      </x:c>
      <x:c r="O20" s="64" t="s">
        <x:v>63</x:v>
      </x:c>
      <x:c r="P20" s="96" t="n">
        <x:f>IF(A20="","",COUNTIFS(Atendimentos!$B$4:$B$403,A20,Atendimentos!$H$4:$H$403,"Realizado"))</x:f>
        <x:v>4</x:v>
      </x:c>
      <x:c r="Q20" s="96">
        <x:f t="shared" si="4"/>
        <x:v>0</x:v>
      </x:c>
    </x:row>
    <x:row r="21" ht="20" customHeight="1">
      <x:c r="A21" s="96">
        <x:f t="shared" si="0"/>
        <x:v>18</x:v>
      </x:c>
      <x:c r="B21" s="64" t="str">
        <x:v>Paciente 003</x:v>
      </x:c>
      <x:c r="C21" s="96" t="n">
        <x:f>IF(B21="","",IFERROR(INDEX(Pacientes!$A$4:$A$203,MATCH(B21,Pacientes!$B$4:$B$203,0)),""))</x:f>
        <x:v>3</x:v>
      </x:c>
      <x:c r="D21" s="72">
        <x:v>46221</x:v>
      </x:c>
      <x:c r="E21" s="64" t="s">
        <x:v>69</x:v>
      </x:c>
      <x:c r="F21" s="70">
        <x:v>8</x:v>
      </x:c>
      <x:c r="G21" s="92" t="n">
        <x:f>IF(E21="","",IF(E21="Consulta Avulsa",Configuracoes!$B$4,IF(E21="Plano Quinzenal",Configuracoes!$B$5,IF(E21="Plano Semanal",Configuracoes!$B$6,""))))</x:f>
        <x:v>81</x:v>
      </x:c>
      <x:c r="H21" s="92">
        <x:f t="shared" si="1"/>
        <x:v>648</x:v>
      </x:c>
      <x:c r="I21" s="64" t="s">
        <x:v>68</x:v>
      </x:c>
      <x:c r="J21" s="94" t="n">
        <x:f>IF(I21="PIX",Configuracoes!$E$4,0)</x:f>
        <x:v>0</x:v>
      </x:c>
      <x:c r="K21" s="92">
        <x:f t="shared" si="2"/>
        <x:v>0</x:v>
      </x:c>
      <x:c r="L21" s="92">
        <x:f t="shared" si="3"/>
        <x:v>648</x:v>
      </x:c>
      <x:c r="M21" s="70">
        <x:v>1</x:v>
      </x:c>
      <x:c r="N21" s="72">
        <x:v>46223</x:v>
      </x:c>
      <x:c r="O21" s="64" t="s">
        <x:v>63</x:v>
      </x:c>
      <x:c r="P21" s="96" t="n">
        <x:f>IF(A21="","",COUNTIFS(Atendimentos!$B$4:$B$403,A21,Atendimentos!$H$4:$H$403,"Realizado"))</x:f>
        <x:v>8</x:v>
      </x:c>
      <x:c r="Q21" s="96">
        <x:f t="shared" si="4"/>
        <x:v>0</x:v>
      </x:c>
    </x:row>
    <x:row r="22" ht="20" customHeight="1">
      <x:c r="A22" s="96">
        <x:f t="shared" si="0"/>
        <x:v>19</x:v>
      </x:c>
      <x:c r="B22" s="64" t="str">
        <x:v>Paciente 006</x:v>
      </x:c>
      <x:c r="C22" s="96" t="n">
        <x:f>IF(B22="","",IFERROR(INDEX(Pacientes!$A$4:$A$203,MATCH(B22,Pacientes!$B$4:$B$203,0)),""))</x:f>
        <x:v>6</x:v>
      </x:c>
      <x:c r="D22" s="72">
        <x:v>46254</x:v>
      </x:c>
      <x:c r="E22" s="64" t="s">
        <x:v>64</x:v>
      </x:c>
      <x:c r="F22" s="70">
        <x:v>4</x:v>
      </x:c>
      <x:c r="G22" s="92" t="n">
        <x:f>IF(E22="","",IF(E22="Consulta Avulsa",Configuracoes!$B$4,IF(E22="Plano Quinzenal",Configuracoes!$B$5,IF(E22="Plano Semanal",Configuracoes!$B$6,""))))</x:f>
        <x:v>180</x:v>
      </x:c>
      <x:c r="H22" s="92">
        <x:f t="shared" si="1"/>
        <x:v>720</x:v>
      </x:c>
      <x:c r="I22" s="64" t="s">
        <x:v>65</x:v>
      </x:c>
      <x:c r="J22" s="94" t="n">
        <x:f>IF(I22="PIX",Configuracoes!$E$4,0)</x:f>
        <x:v>0</x:v>
      </x:c>
      <x:c r="K22" s="92">
        <x:f t="shared" si="2"/>
        <x:v>0</x:v>
      </x:c>
      <x:c r="L22" s="92">
        <x:f t="shared" si="3"/>
        <x:v>720</x:v>
      </x:c>
      <x:c r="M22" s="70">
        <x:v>2</x:v>
      </x:c>
      <x:c r="N22" s="72">
        <x:v>46256</x:v>
      </x:c>
      <x:c r="O22" s="64" t="s">
        <x:v>66</x:v>
      </x:c>
      <x:c r="P22" s="96" t="n">
        <x:f>IF(A22="","",COUNTIFS(Atendimentos!$B$4:$B$403,A22,Atendimentos!$H$4:$H$403,"Realizado"))</x:f>
        <x:v>2</x:v>
      </x:c>
      <x:c r="Q22" s="96">
        <x:f t="shared" si="4"/>
        <x:v>2</x:v>
      </x:c>
    </x:row>
    <x:row r="23" ht="20" customHeight="1">
      <x:c r="A23" s="96" t="str">
        <x:f t="shared" si="0"/>
      </x:c>
      <x:c r="B23" s="64"/>
      <x:c r="C23" s="96" t="str">
        <x:f>IF(B23="","",IFERROR(INDEX(Pacientes!$A$4:$A$203,MATCH(B23,Pacientes!$B$4:$B$203,0)),""))</x:f>
      </x:c>
      <x:c r="D23" s="72"/>
      <x:c r="E23" s="64"/>
      <x:c r="F23" s="70"/>
      <x:c r="G23" s="92" t="str">
        <x:f>IF(E23="","",IF(E23="Consulta Avulsa",Configuracoes!$B$4,IF(E23="Plano Quinzenal",Configuracoes!$B$5,IF(E23="Plano Semanal",Configuracoes!$B$6,""))))</x:f>
      </x:c>
      <x:c r="H23" s="92" t="str">
        <x:f t="shared" si="1"/>
      </x:c>
      <x:c r="I23" s="64"/>
      <x:c r="J23" s="94" t="n">
        <x:f>IF(I23="PIX",Configuracoes!$E$4,0)</x:f>
        <x:v>0</x:v>
      </x:c>
      <x:c r="K23" s="92" t="str">
        <x:f t="shared" si="2"/>
      </x:c>
      <x:c r="L23" s="92" t="str">
        <x:f t="shared" si="3"/>
      </x:c>
      <x:c r="M23" s="70"/>
      <x:c r="N23" s="72"/>
      <x:c r="O23" s="64"/>
      <x:c r="P23" s="96" t="str">
        <x:f>IF(A23="","",COUNTIFS(Atendimentos!$B$4:$B$403,A23,Atendimentos!$H$4:$H$403,"Realizado"))</x:f>
      </x:c>
      <x:c r="Q23" s="96" t="str">
        <x:f t="shared" si="4"/>
      </x:c>
    </x:row>
    <x:row r="24" ht="20" customHeight="1">
      <x:c r="A24" s="96" t="str">
        <x:f t="shared" si="0"/>
      </x:c>
      <x:c r="B24" s="64"/>
      <x:c r="C24" s="96" t="str">
        <x:f>IF(B24="","",IFERROR(INDEX(Pacientes!$A$4:$A$203,MATCH(B24,Pacientes!$B$4:$B$203,0)),""))</x:f>
      </x:c>
      <x:c r="D24" s="72"/>
      <x:c r="E24" s="64"/>
      <x:c r="F24" s="70"/>
      <x:c r="G24" s="92" t="str">
        <x:f>IF(E24="","",IF(E24="Consulta Avulsa",Configuracoes!$B$4,IF(E24="Plano Quinzenal",Configuracoes!$B$5,IF(E24="Plano Semanal",Configuracoes!$B$6,""))))</x:f>
      </x:c>
      <x:c r="H24" s="92" t="str">
        <x:f t="shared" si="1"/>
      </x:c>
      <x:c r="I24" s="64"/>
      <x:c r="J24" s="94" t="n">
        <x:f>IF(I24="PIX",Configuracoes!$E$4,0)</x:f>
        <x:v>0</x:v>
      </x:c>
      <x:c r="K24" s="92" t="str">
        <x:f t="shared" si="2"/>
      </x:c>
      <x:c r="L24" s="92" t="str">
        <x:f t="shared" si="3"/>
      </x:c>
      <x:c r="M24" s="70"/>
      <x:c r="N24" s="72"/>
      <x:c r="O24" s="64"/>
      <x:c r="P24" s="96" t="str">
        <x:f>IF(A24="","",COUNTIFS(Atendimentos!$B$4:$B$403,A24,Atendimentos!$H$4:$H$403,"Realizado"))</x:f>
      </x:c>
      <x:c r="Q24" s="96" t="str">
        <x:f t="shared" si="4"/>
      </x:c>
    </x:row>
    <x:row r="25" ht="20" customHeight="1">
      <x:c r="A25" s="96" t="str">
        <x:f t="shared" si="0"/>
      </x:c>
      <x:c r="B25" s="64"/>
      <x:c r="C25" s="96" t="str">
        <x:f>IF(B25="","",IFERROR(INDEX(Pacientes!$A$4:$A$203,MATCH(B25,Pacientes!$B$4:$B$203,0)),""))</x:f>
      </x:c>
      <x:c r="D25" s="72"/>
      <x:c r="E25" s="64"/>
      <x:c r="F25" s="70"/>
      <x:c r="G25" s="92" t="str">
        <x:f>IF(E25="","",IF(E25="Consulta Avulsa",Configuracoes!$B$4,IF(E25="Plano Quinzenal",Configuracoes!$B$5,IF(E25="Plano Semanal",Configuracoes!$B$6,""))))</x:f>
      </x:c>
      <x:c r="H25" s="92" t="str">
        <x:f t="shared" si="1"/>
      </x:c>
      <x:c r="I25" s="64"/>
      <x:c r="J25" s="94" t="n">
        <x:f>IF(I25="PIX",Configuracoes!$E$4,0)</x:f>
        <x:v>0</x:v>
      </x:c>
      <x:c r="K25" s="92" t="str">
        <x:f t="shared" si="2"/>
      </x:c>
      <x:c r="L25" s="92" t="str">
        <x:f t="shared" si="3"/>
      </x:c>
      <x:c r="M25" s="70"/>
      <x:c r="N25" s="72"/>
      <x:c r="O25" s="64"/>
      <x:c r="P25" s="96" t="str">
        <x:f>IF(A25="","",COUNTIFS(Atendimentos!$B$4:$B$403,A25,Atendimentos!$H$4:$H$403,"Realizado"))</x:f>
      </x:c>
      <x:c r="Q25" s="96" t="str">
        <x:f t="shared" si="4"/>
      </x:c>
    </x:row>
    <x:row r="26" ht="20" customHeight="1">
      <x:c r="A26" s="96" t="str">
        <x:f t="shared" si="0"/>
      </x:c>
      <x:c r="B26" s="64"/>
      <x:c r="C26" s="96" t="str">
        <x:f>IF(B26="","",IFERROR(INDEX(Pacientes!$A$4:$A$203,MATCH(B26,Pacientes!$B$4:$B$203,0)),""))</x:f>
      </x:c>
      <x:c r="D26" s="72"/>
      <x:c r="E26" s="64"/>
      <x:c r="F26" s="70"/>
      <x:c r="G26" s="92" t="str">
        <x:f>IF(E26="","",IF(E26="Consulta Avulsa",Configuracoes!$B$4,IF(E26="Plano Quinzenal",Configuracoes!$B$5,IF(E26="Plano Semanal",Configuracoes!$B$6,""))))</x:f>
      </x:c>
      <x:c r="H26" s="92" t="str">
        <x:f t="shared" si="1"/>
      </x:c>
      <x:c r="I26" s="64"/>
      <x:c r="J26" s="94" t="n">
        <x:f>IF(I26="PIX",Configuracoes!$E$4,0)</x:f>
        <x:v>0</x:v>
      </x:c>
      <x:c r="K26" s="92" t="str">
        <x:f t="shared" si="2"/>
      </x:c>
      <x:c r="L26" s="92" t="str">
        <x:f t="shared" si="3"/>
      </x:c>
      <x:c r="M26" s="70"/>
      <x:c r="N26" s="72"/>
      <x:c r="O26" s="64"/>
      <x:c r="P26" s="96" t="str">
        <x:f>IF(A26="","",COUNTIFS(Atendimentos!$B$4:$B$403,A26,Atendimentos!$H$4:$H$403,"Realizado"))</x:f>
      </x:c>
      <x:c r="Q26" s="96" t="str">
        <x:f t="shared" si="4"/>
      </x:c>
    </x:row>
    <x:row r="27" ht="20" customHeight="1">
      <x:c r="A27" s="96" t="str">
        <x:f t="shared" si="0"/>
      </x:c>
      <x:c r="B27" s="64"/>
      <x:c r="C27" s="96" t="str">
        <x:f>IF(B27="","",IFERROR(INDEX(Pacientes!$A$4:$A$203,MATCH(B27,Pacientes!$B$4:$B$203,0)),""))</x:f>
      </x:c>
      <x:c r="D27" s="72"/>
      <x:c r="E27" s="64"/>
      <x:c r="F27" s="70"/>
      <x:c r="G27" s="92" t="str">
        <x:f>IF(E27="","",IF(E27="Consulta Avulsa",Configuracoes!$B$4,IF(E27="Plano Quinzenal",Configuracoes!$B$5,IF(E27="Plano Semanal",Configuracoes!$B$6,""))))</x:f>
      </x:c>
      <x:c r="H27" s="92" t="str">
        <x:f t="shared" si="1"/>
      </x:c>
      <x:c r="I27" s="64"/>
      <x:c r="J27" s="94" t="n">
        <x:f>IF(I27="PIX",Configuracoes!$E$4,0)</x:f>
        <x:v>0</x:v>
      </x:c>
      <x:c r="K27" s="92" t="str">
        <x:f t="shared" si="2"/>
      </x:c>
      <x:c r="L27" s="92" t="str">
        <x:f t="shared" si="3"/>
      </x:c>
      <x:c r="M27" s="70"/>
      <x:c r="N27" s="72"/>
      <x:c r="O27" s="64"/>
      <x:c r="P27" s="96" t="str">
        <x:f>IF(A27="","",COUNTIFS(Atendimentos!$B$4:$B$403,A27,Atendimentos!$H$4:$H$403,"Realizado"))</x:f>
      </x:c>
      <x:c r="Q27" s="96" t="str">
        <x:f t="shared" si="4"/>
      </x:c>
    </x:row>
    <x:row r="28" ht="20" customHeight="1">
      <x:c r="A28" s="96" t="str">
        <x:f t="shared" si="0"/>
      </x:c>
      <x:c r="B28" s="64"/>
      <x:c r="C28" s="96" t="str">
        <x:f>IF(B28="","",IFERROR(INDEX(Pacientes!$A$4:$A$203,MATCH(B28,Pacientes!$B$4:$B$203,0)),""))</x:f>
      </x:c>
      <x:c r="D28" s="72"/>
      <x:c r="E28" s="64"/>
      <x:c r="F28" s="70"/>
      <x:c r="G28" s="92" t="str">
        <x:f>IF(E28="","",IF(E28="Consulta Avulsa",Configuracoes!$B$4,IF(E28="Plano Quinzenal",Configuracoes!$B$5,IF(E28="Plano Semanal",Configuracoes!$B$6,""))))</x:f>
      </x:c>
      <x:c r="H28" s="92" t="str">
        <x:f t="shared" si="1"/>
      </x:c>
      <x:c r="I28" s="64"/>
      <x:c r="J28" s="94" t="n">
        <x:f>IF(I28="PIX",Configuracoes!$E$4,0)</x:f>
        <x:v>0</x:v>
      </x:c>
      <x:c r="K28" s="92" t="str">
        <x:f t="shared" si="2"/>
      </x:c>
      <x:c r="L28" s="92" t="str">
        <x:f t="shared" si="3"/>
      </x:c>
      <x:c r="M28" s="70"/>
      <x:c r="N28" s="72"/>
      <x:c r="O28" s="64"/>
      <x:c r="P28" s="96" t="str">
        <x:f>IF(A28="","",COUNTIFS(Atendimentos!$B$4:$B$403,A28,Atendimentos!$H$4:$H$403,"Realizado"))</x:f>
      </x:c>
      <x:c r="Q28" s="96" t="str">
        <x:f t="shared" si="4"/>
      </x:c>
    </x:row>
    <x:row r="29" ht="20" customHeight="1">
      <x:c r="A29" s="96" t="str">
        <x:f t="shared" si="0"/>
      </x:c>
      <x:c r="B29" s="64"/>
      <x:c r="C29" s="96" t="str">
        <x:f>IF(B29="","",IFERROR(INDEX(Pacientes!$A$4:$A$203,MATCH(B29,Pacientes!$B$4:$B$203,0)),""))</x:f>
      </x:c>
      <x:c r="D29" s="72"/>
      <x:c r="E29" s="64"/>
      <x:c r="F29" s="70"/>
      <x:c r="G29" s="92" t="str">
        <x:f>IF(E29="","",IF(E29="Consulta Avulsa",Configuracoes!$B$4,IF(E29="Plano Quinzenal",Configuracoes!$B$5,IF(E29="Plano Semanal",Configuracoes!$B$6,""))))</x:f>
      </x:c>
      <x:c r="H29" s="92" t="str">
        <x:f t="shared" si="1"/>
      </x:c>
      <x:c r="I29" s="64"/>
      <x:c r="J29" s="94" t="n">
        <x:f>IF(I29="PIX",Configuracoes!$E$4,0)</x:f>
        <x:v>0</x:v>
      </x:c>
      <x:c r="K29" s="92" t="str">
        <x:f t="shared" si="2"/>
      </x:c>
      <x:c r="L29" s="92" t="str">
        <x:f t="shared" si="3"/>
      </x:c>
      <x:c r="M29" s="70"/>
      <x:c r="N29" s="72"/>
      <x:c r="O29" s="64"/>
      <x:c r="P29" s="96" t="str">
        <x:f>IF(A29="","",COUNTIFS(Atendimentos!$B$4:$B$403,A29,Atendimentos!$H$4:$H$403,"Realizado"))</x:f>
      </x:c>
      <x:c r="Q29" s="96" t="str">
        <x:f t="shared" si="4"/>
      </x:c>
    </x:row>
    <x:row r="30" ht="20" customHeight="1">
      <x:c r="A30" s="96" t="str">
        <x:f t="shared" si="0"/>
      </x:c>
      <x:c r="B30" s="64"/>
      <x:c r="C30" s="96" t="str">
        <x:f>IF(B30="","",IFERROR(INDEX(Pacientes!$A$4:$A$203,MATCH(B30,Pacientes!$B$4:$B$203,0)),""))</x:f>
      </x:c>
      <x:c r="D30" s="72"/>
      <x:c r="E30" s="64"/>
      <x:c r="F30" s="70"/>
      <x:c r="G30" s="92" t="str">
        <x:f>IF(E30="","",IF(E30="Consulta Avulsa",Configuracoes!$B$4,IF(E30="Plano Quinzenal",Configuracoes!$B$5,IF(E30="Plano Semanal",Configuracoes!$B$6,""))))</x:f>
      </x:c>
      <x:c r="H30" s="92" t="str">
        <x:f t="shared" si="1"/>
      </x:c>
      <x:c r="I30" s="64"/>
      <x:c r="J30" s="94" t="n">
        <x:f>IF(I30="PIX",Configuracoes!$E$4,0)</x:f>
        <x:v>0</x:v>
      </x:c>
      <x:c r="K30" s="92" t="str">
        <x:f t="shared" si="2"/>
      </x:c>
      <x:c r="L30" s="92" t="str">
        <x:f t="shared" si="3"/>
      </x:c>
      <x:c r="M30" s="70"/>
      <x:c r="N30" s="72"/>
      <x:c r="O30" s="64"/>
      <x:c r="P30" s="96" t="str">
        <x:f>IF(A30="","",COUNTIFS(Atendimentos!$B$4:$B$403,A30,Atendimentos!$H$4:$H$403,"Realizado"))</x:f>
      </x:c>
      <x:c r="Q30" s="96" t="str">
        <x:f t="shared" si="4"/>
      </x:c>
    </x:row>
    <x:row r="31" ht="20" customHeight="1">
      <x:c r="A31" s="96" t="str">
        <x:f t="shared" si="0"/>
      </x:c>
      <x:c r="B31" s="64"/>
      <x:c r="C31" s="96" t="str">
        <x:f>IF(B31="","",IFERROR(INDEX(Pacientes!$A$4:$A$203,MATCH(B31,Pacientes!$B$4:$B$203,0)),""))</x:f>
      </x:c>
      <x:c r="D31" s="72"/>
      <x:c r="E31" s="64"/>
      <x:c r="F31" s="70"/>
      <x:c r="G31" s="92" t="str">
        <x:f>IF(E31="","",IF(E31="Consulta Avulsa",Configuracoes!$B$4,IF(E31="Plano Quinzenal",Configuracoes!$B$5,IF(E31="Plano Semanal",Configuracoes!$B$6,""))))</x:f>
      </x:c>
      <x:c r="H31" s="92" t="str">
        <x:f t="shared" si="1"/>
      </x:c>
      <x:c r="I31" s="64"/>
      <x:c r="J31" s="94" t="n">
        <x:f>IF(I31="PIX",Configuracoes!$E$4,0)</x:f>
        <x:v>0</x:v>
      </x:c>
      <x:c r="K31" s="92" t="str">
        <x:f t="shared" si="2"/>
      </x:c>
      <x:c r="L31" s="92" t="str">
        <x:f t="shared" si="3"/>
      </x:c>
      <x:c r="M31" s="70"/>
      <x:c r="N31" s="72"/>
      <x:c r="O31" s="64"/>
      <x:c r="P31" s="96" t="str">
        <x:f>IF(A31="","",COUNTIFS(Atendimentos!$B$4:$B$403,A31,Atendimentos!$H$4:$H$403,"Realizado"))</x:f>
      </x:c>
      <x:c r="Q31" s="96" t="str">
        <x:f t="shared" si="4"/>
      </x:c>
    </x:row>
    <x:row r="32" ht="20" customHeight="1">
      <x:c r="A32" s="96" t="str">
        <x:f t="shared" si="0"/>
      </x:c>
      <x:c r="B32" s="64"/>
      <x:c r="C32" s="96" t="str">
        <x:f>IF(B32="","",IFERROR(INDEX(Pacientes!$A$4:$A$203,MATCH(B32,Pacientes!$B$4:$B$203,0)),""))</x:f>
      </x:c>
      <x:c r="D32" s="72"/>
      <x:c r="E32" s="64"/>
      <x:c r="F32" s="70"/>
      <x:c r="G32" s="92" t="str">
        <x:f>IF(E32="","",IF(E32="Consulta Avulsa",Configuracoes!$B$4,IF(E32="Plano Quinzenal",Configuracoes!$B$5,IF(E32="Plano Semanal",Configuracoes!$B$6,""))))</x:f>
      </x:c>
      <x:c r="H32" s="92" t="str">
        <x:f t="shared" si="1"/>
      </x:c>
      <x:c r="I32" s="64"/>
      <x:c r="J32" s="94" t="n">
        <x:f>IF(I32="PIX",Configuracoes!$E$4,0)</x:f>
        <x:v>0</x:v>
      </x:c>
      <x:c r="K32" s="92" t="str">
        <x:f t="shared" si="2"/>
      </x:c>
      <x:c r="L32" s="92" t="str">
        <x:f t="shared" si="3"/>
      </x:c>
      <x:c r="M32" s="70"/>
      <x:c r="N32" s="72"/>
      <x:c r="O32" s="64"/>
      <x:c r="P32" s="96" t="str">
        <x:f>IF(A32="","",COUNTIFS(Atendimentos!$B$4:$B$403,A32,Atendimentos!$H$4:$H$403,"Realizado"))</x:f>
      </x:c>
      <x:c r="Q32" s="96" t="str">
        <x:f t="shared" si="4"/>
      </x:c>
    </x:row>
    <x:row r="33" ht="20" customHeight="1">
      <x:c r="A33" s="96" t="str">
        <x:f t="shared" si="0"/>
      </x:c>
      <x:c r="B33" s="64"/>
      <x:c r="C33" s="96" t="str">
        <x:f>IF(B33="","",IFERROR(INDEX(Pacientes!$A$4:$A$203,MATCH(B33,Pacientes!$B$4:$B$203,0)),""))</x:f>
      </x:c>
      <x:c r="D33" s="72"/>
      <x:c r="E33" s="64"/>
      <x:c r="F33" s="70"/>
      <x:c r="G33" s="92" t="str">
        <x:f>IF(E33="","",IF(E33="Consulta Avulsa",Configuracoes!$B$4,IF(E33="Plano Quinzenal",Configuracoes!$B$5,IF(E33="Plano Semanal",Configuracoes!$B$6,""))))</x:f>
      </x:c>
      <x:c r="H33" s="92" t="str">
        <x:f t="shared" si="1"/>
      </x:c>
      <x:c r="I33" s="64"/>
      <x:c r="J33" s="94" t="n">
        <x:f>IF(I33="PIX",Configuracoes!$E$4,0)</x:f>
        <x:v>0</x:v>
      </x:c>
      <x:c r="K33" s="92" t="str">
        <x:f t="shared" si="2"/>
      </x:c>
      <x:c r="L33" s="92" t="str">
        <x:f t="shared" si="3"/>
      </x:c>
      <x:c r="M33" s="70"/>
      <x:c r="N33" s="72"/>
      <x:c r="O33" s="64"/>
      <x:c r="P33" s="96" t="str">
        <x:f>IF(A33="","",COUNTIFS(Atendimentos!$B$4:$B$403,A33,Atendimentos!$H$4:$H$403,"Realizado"))</x:f>
      </x:c>
      <x:c r="Q33" s="96" t="str">
        <x:f t="shared" si="4"/>
      </x:c>
    </x:row>
    <x:row r="34" ht="20" customHeight="1">
      <x:c r="A34" s="96" t="str">
        <x:f t="shared" si="0"/>
      </x:c>
      <x:c r="B34" s="64"/>
      <x:c r="C34" s="96" t="str">
        <x:f>IF(B34="","",IFERROR(INDEX(Pacientes!$A$4:$A$203,MATCH(B34,Pacientes!$B$4:$B$203,0)),""))</x:f>
      </x:c>
      <x:c r="D34" s="72"/>
      <x:c r="E34" s="64"/>
      <x:c r="F34" s="70"/>
      <x:c r="G34" s="92" t="str">
        <x:f>IF(E34="","",IF(E34="Consulta Avulsa",Configuracoes!$B$4,IF(E34="Plano Quinzenal",Configuracoes!$B$5,IF(E34="Plano Semanal",Configuracoes!$B$6,""))))</x:f>
      </x:c>
      <x:c r="H34" s="92" t="str">
        <x:f t="shared" si="1"/>
      </x:c>
      <x:c r="I34" s="64"/>
      <x:c r="J34" s="94" t="n">
        <x:f>IF(I34="PIX",Configuracoes!$E$4,0)</x:f>
        <x:v>0</x:v>
      </x:c>
      <x:c r="K34" s="92" t="str">
        <x:f t="shared" si="2"/>
      </x:c>
      <x:c r="L34" s="92" t="str">
        <x:f t="shared" si="3"/>
      </x:c>
      <x:c r="M34" s="70"/>
      <x:c r="N34" s="72"/>
      <x:c r="O34" s="64"/>
      <x:c r="P34" s="96" t="str">
        <x:f>IF(A34="","",COUNTIFS(Atendimentos!$B$4:$B$403,A34,Atendimentos!$H$4:$H$403,"Realizado"))</x:f>
      </x:c>
      <x:c r="Q34" s="96" t="str">
        <x:f t="shared" si="4"/>
      </x:c>
    </x:row>
    <x:row r="35" ht="20" customHeight="1">
      <x:c r="A35" s="96" t="str">
        <x:f t="shared" si="0"/>
      </x:c>
      <x:c r="B35" s="64"/>
      <x:c r="C35" s="96" t="str">
        <x:f>IF(B35="","",IFERROR(INDEX(Pacientes!$A$4:$A$203,MATCH(B35,Pacientes!$B$4:$B$203,0)),""))</x:f>
      </x:c>
      <x:c r="D35" s="72"/>
      <x:c r="E35" s="64"/>
      <x:c r="F35" s="70"/>
      <x:c r="G35" s="92" t="str">
        <x:f>IF(E35="","",IF(E35="Consulta Avulsa",Configuracoes!$B$4,IF(E35="Plano Quinzenal",Configuracoes!$B$5,IF(E35="Plano Semanal",Configuracoes!$B$6,""))))</x:f>
      </x:c>
      <x:c r="H35" s="92" t="str">
        <x:f t="shared" si="1"/>
      </x:c>
      <x:c r="I35" s="64"/>
      <x:c r="J35" s="94" t="n">
        <x:f>IF(I35="PIX",Configuracoes!$E$4,0)</x:f>
        <x:v>0</x:v>
      </x:c>
      <x:c r="K35" s="92" t="str">
        <x:f t="shared" si="2"/>
      </x:c>
      <x:c r="L35" s="92" t="str">
        <x:f t="shared" si="3"/>
      </x:c>
      <x:c r="M35" s="70"/>
      <x:c r="N35" s="72"/>
      <x:c r="O35" s="64"/>
      <x:c r="P35" s="96" t="str">
        <x:f>IF(A35="","",COUNTIFS(Atendimentos!$B$4:$B$403,A35,Atendimentos!$H$4:$H$403,"Realizado"))</x:f>
      </x:c>
      <x:c r="Q35" s="96" t="str">
        <x:f t="shared" si="4"/>
      </x:c>
    </x:row>
    <x:row r="36" ht="20" customHeight="1">
      <x:c r="A36" s="96" t="str">
        <x:f t="shared" ref="A36:A67" si="5">IF(B36="","",ROW()-3)</x:f>
      </x:c>
      <x:c r="B36" s="64"/>
      <x:c r="C36" s="96" t="str">
        <x:f>IF(B36="","",IFERROR(INDEX(Pacientes!$A$4:$A$203,MATCH(B36,Pacientes!$B$4:$B$203,0)),""))</x:f>
      </x:c>
      <x:c r="D36" s="72"/>
      <x:c r="E36" s="64"/>
      <x:c r="F36" s="70"/>
      <x:c r="G36" s="92" t="str">
        <x:f>IF(E36="","",IF(E36="Consulta Avulsa",Configuracoes!$B$4,IF(E36="Plano Quinzenal",Configuracoes!$B$5,IF(E36="Plano Semanal",Configuracoes!$B$6,""))))</x:f>
      </x:c>
      <x:c r="H36" s="92" t="str">
        <x:f t="shared" ref="H36:H67" si="6">IF(OR(F36="",G36=""),"",F36*G36)</x:f>
      </x:c>
      <x:c r="I36" s="64"/>
      <x:c r="J36" s="94" t="n">
        <x:f>IF(I36="PIX",Configuracoes!$E$4,0)</x:f>
        <x:v>0</x:v>
      </x:c>
      <x:c r="K36" s="92" t="str">
        <x:f t="shared" ref="K36:K67" si="7">IF(H36="","",H36*J36)</x:f>
      </x:c>
      <x:c r="L36" s="92" t="str">
        <x:f t="shared" ref="L36:L67" si="8">IF(H36="","",H36-K36)</x:f>
      </x:c>
      <x:c r="M36" s="70"/>
      <x:c r="N36" s="72"/>
      <x:c r="O36" s="64"/>
      <x:c r="P36" s="96" t="str">
        <x:f>IF(A36="","",COUNTIFS(Atendimentos!$B$4:$B$403,A36,Atendimentos!$H$4:$H$403,"Realizado"))</x:f>
      </x:c>
      <x:c r="Q36" s="96" t="str">
        <x:f t="shared" ref="Q36:Q67" si="9">IF(F36="","",MAX(F36-P36,0))</x:f>
      </x:c>
    </x:row>
    <x:row r="37" ht="20" customHeight="1">
      <x:c r="A37" s="96" t="str">
        <x:f t="shared" si="5"/>
      </x:c>
      <x:c r="B37" s="64"/>
      <x:c r="C37" s="96" t="str">
        <x:f>IF(B37="","",IFERROR(INDEX(Pacientes!$A$4:$A$203,MATCH(B37,Pacientes!$B$4:$B$203,0)),""))</x:f>
      </x:c>
      <x:c r="D37" s="72"/>
      <x:c r="E37" s="64"/>
      <x:c r="F37" s="70"/>
      <x:c r="G37" s="92" t="str">
        <x:f>IF(E37="","",IF(E37="Consulta Avulsa",Configuracoes!$B$4,IF(E37="Plano Quinzenal",Configuracoes!$B$5,IF(E37="Plano Semanal",Configuracoes!$B$6,""))))</x:f>
      </x:c>
      <x:c r="H37" s="92" t="str">
        <x:f t="shared" si="6"/>
      </x:c>
      <x:c r="I37" s="64"/>
      <x:c r="J37" s="94" t="n">
        <x:f>IF(I37="PIX",Configuracoes!$E$4,0)</x:f>
        <x:v>0</x:v>
      </x:c>
      <x:c r="K37" s="92" t="str">
        <x:f t="shared" si="7"/>
      </x:c>
      <x:c r="L37" s="92" t="str">
        <x:f t="shared" si="8"/>
      </x:c>
      <x:c r="M37" s="70"/>
      <x:c r="N37" s="72"/>
      <x:c r="O37" s="64"/>
      <x:c r="P37" s="96" t="str">
        <x:f>IF(A37="","",COUNTIFS(Atendimentos!$B$4:$B$403,A37,Atendimentos!$H$4:$H$403,"Realizado"))</x:f>
      </x:c>
      <x:c r="Q37" s="96" t="str">
        <x:f t="shared" si="9"/>
      </x:c>
    </x:row>
    <x:row r="38" ht="20" customHeight="1">
      <x:c r="A38" s="96" t="str">
        <x:f t="shared" si="5"/>
      </x:c>
      <x:c r="B38" s="64"/>
      <x:c r="C38" s="96" t="str">
        <x:f>IF(B38="","",IFERROR(INDEX(Pacientes!$A$4:$A$203,MATCH(B38,Pacientes!$B$4:$B$203,0)),""))</x:f>
      </x:c>
      <x:c r="D38" s="72"/>
      <x:c r="E38" s="64"/>
      <x:c r="F38" s="70"/>
      <x:c r="G38" s="92" t="str">
        <x:f>IF(E38="","",IF(E38="Consulta Avulsa",Configuracoes!$B$4,IF(E38="Plano Quinzenal",Configuracoes!$B$5,IF(E38="Plano Semanal",Configuracoes!$B$6,""))))</x:f>
      </x:c>
      <x:c r="H38" s="92" t="str">
        <x:f t="shared" si="6"/>
      </x:c>
      <x:c r="I38" s="64"/>
      <x:c r="J38" s="94" t="n">
        <x:f>IF(I38="PIX",Configuracoes!$E$4,0)</x:f>
        <x:v>0</x:v>
      </x:c>
      <x:c r="K38" s="92" t="str">
        <x:f t="shared" si="7"/>
      </x:c>
      <x:c r="L38" s="92" t="str">
        <x:f t="shared" si="8"/>
      </x:c>
      <x:c r="M38" s="70"/>
      <x:c r="N38" s="72"/>
      <x:c r="O38" s="64"/>
      <x:c r="P38" s="96" t="str">
        <x:f>IF(A38="","",COUNTIFS(Atendimentos!$B$4:$B$403,A38,Atendimentos!$H$4:$H$403,"Realizado"))</x:f>
      </x:c>
      <x:c r="Q38" s="96" t="str">
        <x:f t="shared" si="9"/>
      </x:c>
    </x:row>
    <x:row r="39" ht="20" customHeight="1">
      <x:c r="A39" s="96" t="str">
        <x:f t="shared" si="5"/>
      </x:c>
      <x:c r="B39" s="64"/>
      <x:c r="C39" s="96" t="str">
        <x:f>IF(B39="","",IFERROR(INDEX(Pacientes!$A$4:$A$203,MATCH(B39,Pacientes!$B$4:$B$203,0)),""))</x:f>
      </x:c>
      <x:c r="D39" s="72"/>
      <x:c r="E39" s="64"/>
      <x:c r="F39" s="70"/>
      <x:c r="G39" s="92" t="str">
        <x:f>IF(E39="","",IF(E39="Consulta Avulsa",Configuracoes!$B$4,IF(E39="Plano Quinzenal",Configuracoes!$B$5,IF(E39="Plano Semanal",Configuracoes!$B$6,""))))</x:f>
      </x:c>
      <x:c r="H39" s="92" t="str">
        <x:f t="shared" si="6"/>
      </x:c>
      <x:c r="I39" s="64"/>
      <x:c r="J39" s="94" t="n">
        <x:f>IF(I39="PIX",Configuracoes!$E$4,0)</x:f>
        <x:v>0</x:v>
      </x:c>
      <x:c r="K39" s="92" t="str">
        <x:f t="shared" si="7"/>
      </x:c>
      <x:c r="L39" s="92" t="str">
        <x:f t="shared" si="8"/>
      </x:c>
      <x:c r="M39" s="70"/>
      <x:c r="N39" s="72"/>
      <x:c r="O39" s="64"/>
      <x:c r="P39" s="96" t="str">
        <x:f>IF(A39="","",COUNTIFS(Atendimentos!$B$4:$B$403,A39,Atendimentos!$H$4:$H$403,"Realizado"))</x:f>
      </x:c>
      <x:c r="Q39" s="96" t="str">
        <x:f t="shared" si="9"/>
      </x:c>
    </x:row>
    <x:row r="40" ht="20" customHeight="1">
      <x:c r="A40" s="96" t="str">
        <x:f t="shared" si="5"/>
      </x:c>
      <x:c r="B40" s="64"/>
      <x:c r="C40" s="96" t="str">
        <x:f>IF(B40="","",IFERROR(INDEX(Pacientes!$A$4:$A$203,MATCH(B40,Pacientes!$B$4:$B$203,0)),""))</x:f>
      </x:c>
      <x:c r="D40" s="72"/>
      <x:c r="E40" s="64"/>
      <x:c r="F40" s="70"/>
      <x:c r="G40" s="92" t="str">
        <x:f>IF(E40="","",IF(E40="Consulta Avulsa",Configuracoes!$B$4,IF(E40="Plano Quinzenal",Configuracoes!$B$5,IF(E40="Plano Semanal",Configuracoes!$B$6,""))))</x:f>
      </x:c>
      <x:c r="H40" s="92" t="str">
        <x:f t="shared" si="6"/>
      </x:c>
      <x:c r="I40" s="64"/>
      <x:c r="J40" s="94" t="n">
        <x:f>IF(I40="PIX",Configuracoes!$E$4,0)</x:f>
        <x:v>0</x:v>
      </x:c>
      <x:c r="K40" s="92" t="str">
        <x:f t="shared" si="7"/>
      </x:c>
      <x:c r="L40" s="92" t="str">
        <x:f t="shared" si="8"/>
      </x:c>
      <x:c r="M40" s="70"/>
      <x:c r="N40" s="72"/>
      <x:c r="O40" s="64"/>
      <x:c r="P40" s="96" t="str">
        <x:f>IF(A40="","",COUNTIFS(Atendimentos!$B$4:$B$403,A40,Atendimentos!$H$4:$H$403,"Realizado"))</x:f>
      </x:c>
      <x:c r="Q40" s="96" t="str">
        <x:f t="shared" si="9"/>
      </x:c>
    </x:row>
    <x:row r="41" ht="20" customHeight="1">
      <x:c r="A41" s="96" t="str">
        <x:f t="shared" si="5"/>
      </x:c>
      <x:c r="B41" s="64"/>
      <x:c r="C41" s="96" t="str">
        <x:f>IF(B41="","",IFERROR(INDEX(Pacientes!$A$4:$A$203,MATCH(B41,Pacientes!$B$4:$B$203,0)),""))</x:f>
      </x:c>
      <x:c r="D41" s="72"/>
      <x:c r="E41" s="64"/>
      <x:c r="F41" s="70"/>
      <x:c r="G41" s="92" t="str">
        <x:f>IF(E41="","",IF(E41="Consulta Avulsa",Configuracoes!$B$4,IF(E41="Plano Quinzenal",Configuracoes!$B$5,IF(E41="Plano Semanal",Configuracoes!$B$6,""))))</x:f>
      </x:c>
      <x:c r="H41" s="92" t="str">
        <x:f t="shared" si="6"/>
      </x:c>
      <x:c r="I41" s="64"/>
      <x:c r="J41" s="94" t="n">
        <x:f>IF(I41="PIX",Configuracoes!$E$4,0)</x:f>
        <x:v>0</x:v>
      </x:c>
      <x:c r="K41" s="92" t="str">
        <x:f t="shared" si="7"/>
      </x:c>
      <x:c r="L41" s="92" t="str">
        <x:f t="shared" si="8"/>
      </x:c>
      <x:c r="M41" s="70"/>
      <x:c r="N41" s="72"/>
      <x:c r="O41" s="64"/>
      <x:c r="P41" s="96" t="str">
        <x:f>IF(A41="","",COUNTIFS(Atendimentos!$B$4:$B$403,A41,Atendimentos!$H$4:$H$403,"Realizado"))</x:f>
      </x:c>
      <x:c r="Q41" s="96" t="str">
        <x:f t="shared" si="9"/>
      </x:c>
    </x:row>
    <x:row r="42" ht="20" customHeight="1">
      <x:c r="A42" s="96" t="str">
        <x:f t="shared" si="5"/>
      </x:c>
      <x:c r="B42" s="64"/>
      <x:c r="C42" s="96" t="str">
        <x:f>IF(B42="","",IFERROR(INDEX(Pacientes!$A$4:$A$203,MATCH(B42,Pacientes!$B$4:$B$203,0)),""))</x:f>
      </x:c>
      <x:c r="D42" s="72"/>
      <x:c r="E42" s="64"/>
      <x:c r="F42" s="70"/>
      <x:c r="G42" s="92" t="str">
        <x:f>IF(E42="","",IF(E42="Consulta Avulsa",Configuracoes!$B$4,IF(E42="Plano Quinzenal",Configuracoes!$B$5,IF(E42="Plano Semanal",Configuracoes!$B$6,""))))</x:f>
      </x:c>
      <x:c r="H42" s="92" t="str">
        <x:f t="shared" si="6"/>
      </x:c>
      <x:c r="I42" s="64"/>
      <x:c r="J42" s="94" t="n">
        <x:f>IF(I42="PIX",Configuracoes!$E$4,0)</x:f>
        <x:v>0</x:v>
      </x:c>
      <x:c r="K42" s="92" t="str">
        <x:f t="shared" si="7"/>
      </x:c>
      <x:c r="L42" s="92" t="str">
        <x:f t="shared" si="8"/>
      </x:c>
      <x:c r="M42" s="70"/>
      <x:c r="N42" s="72"/>
      <x:c r="O42" s="64"/>
      <x:c r="P42" s="96" t="str">
        <x:f>IF(A42="","",COUNTIFS(Atendimentos!$B$4:$B$403,A42,Atendimentos!$H$4:$H$403,"Realizado"))</x:f>
      </x:c>
      <x:c r="Q42" s="96" t="str">
        <x:f t="shared" si="9"/>
      </x:c>
    </x:row>
    <x:row r="43" ht="20" customHeight="1">
      <x:c r="A43" s="96" t="str">
        <x:f t="shared" si="5"/>
      </x:c>
      <x:c r="B43" s="64"/>
      <x:c r="C43" s="96" t="str">
        <x:f>IF(B43="","",IFERROR(INDEX(Pacientes!$A$4:$A$203,MATCH(B43,Pacientes!$B$4:$B$203,0)),""))</x:f>
      </x:c>
      <x:c r="D43" s="72"/>
      <x:c r="E43" s="64"/>
      <x:c r="F43" s="70"/>
      <x:c r="G43" s="92" t="str">
        <x:f>IF(E43="","",IF(E43="Consulta Avulsa",Configuracoes!$B$4,IF(E43="Plano Quinzenal",Configuracoes!$B$5,IF(E43="Plano Semanal",Configuracoes!$B$6,""))))</x:f>
      </x:c>
      <x:c r="H43" s="92" t="str">
        <x:f t="shared" si="6"/>
      </x:c>
      <x:c r="I43" s="64"/>
      <x:c r="J43" s="94" t="n">
        <x:f>IF(I43="PIX",Configuracoes!$E$4,0)</x:f>
        <x:v>0</x:v>
      </x:c>
      <x:c r="K43" s="92" t="str">
        <x:f t="shared" si="7"/>
      </x:c>
      <x:c r="L43" s="92" t="str">
        <x:f t="shared" si="8"/>
      </x:c>
      <x:c r="M43" s="70"/>
      <x:c r="N43" s="72"/>
      <x:c r="O43" s="64"/>
      <x:c r="P43" s="96" t="str">
        <x:f>IF(A43="","",COUNTIFS(Atendimentos!$B$4:$B$403,A43,Atendimentos!$H$4:$H$403,"Realizado"))</x:f>
      </x:c>
      <x:c r="Q43" s="96" t="str">
        <x:f t="shared" si="9"/>
      </x:c>
    </x:row>
    <x:row r="44" ht="20" customHeight="1">
      <x:c r="A44" s="96" t="str">
        <x:f t="shared" si="5"/>
      </x:c>
      <x:c r="B44" s="64"/>
      <x:c r="C44" s="96" t="str">
        <x:f>IF(B44="","",IFERROR(INDEX(Pacientes!$A$4:$A$203,MATCH(B44,Pacientes!$B$4:$B$203,0)),""))</x:f>
      </x:c>
      <x:c r="D44" s="72"/>
      <x:c r="E44" s="64"/>
      <x:c r="F44" s="70"/>
      <x:c r="G44" s="92" t="str">
        <x:f>IF(E44="","",IF(E44="Consulta Avulsa",Configuracoes!$B$4,IF(E44="Plano Quinzenal",Configuracoes!$B$5,IF(E44="Plano Semanal",Configuracoes!$B$6,""))))</x:f>
      </x:c>
      <x:c r="H44" s="92" t="str">
        <x:f t="shared" si="6"/>
      </x:c>
      <x:c r="I44" s="64"/>
      <x:c r="J44" s="94" t="n">
        <x:f>IF(I44="PIX",Configuracoes!$E$4,0)</x:f>
        <x:v>0</x:v>
      </x:c>
      <x:c r="K44" s="92" t="str">
        <x:f t="shared" si="7"/>
      </x:c>
      <x:c r="L44" s="92" t="str">
        <x:f t="shared" si="8"/>
      </x:c>
      <x:c r="M44" s="70"/>
      <x:c r="N44" s="72"/>
      <x:c r="O44" s="64"/>
      <x:c r="P44" s="96" t="str">
        <x:f>IF(A44="","",COUNTIFS(Atendimentos!$B$4:$B$403,A44,Atendimentos!$H$4:$H$403,"Realizado"))</x:f>
      </x:c>
      <x:c r="Q44" s="96" t="str">
        <x:f t="shared" si="9"/>
      </x:c>
    </x:row>
    <x:row r="45" ht="20" customHeight="1">
      <x:c r="A45" s="96" t="str">
        <x:f t="shared" si="5"/>
      </x:c>
      <x:c r="B45" s="64"/>
      <x:c r="C45" s="96" t="str">
        <x:f>IF(B45="","",IFERROR(INDEX(Pacientes!$A$4:$A$203,MATCH(B45,Pacientes!$B$4:$B$203,0)),""))</x:f>
      </x:c>
      <x:c r="D45" s="72"/>
      <x:c r="E45" s="64"/>
      <x:c r="F45" s="70"/>
      <x:c r="G45" s="92" t="str">
        <x:f>IF(E45="","",IF(E45="Consulta Avulsa",Configuracoes!$B$4,IF(E45="Plano Quinzenal",Configuracoes!$B$5,IF(E45="Plano Semanal",Configuracoes!$B$6,""))))</x:f>
      </x:c>
      <x:c r="H45" s="92" t="str">
        <x:f t="shared" si="6"/>
      </x:c>
      <x:c r="I45" s="64"/>
      <x:c r="J45" s="94" t="n">
        <x:f>IF(I45="PIX",Configuracoes!$E$4,0)</x:f>
        <x:v>0</x:v>
      </x:c>
      <x:c r="K45" s="92" t="str">
        <x:f t="shared" si="7"/>
      </x:c>
      <x:c r="L45" s="92" t="str">
        <x:f t="shared" si="8"/>
      </x:c>
      <x:c r="M45" s="70"/>
      <x:c r="N45" s="72"/>
      <x:c r="O45" s="64"/>
      <x:c r="P45" s="96" t="str">
        <x:f>IF(A45="","",COUNTIFS(Atendimentos!$B$4:$B$403,A45,Atendimentos!$H$4:$H$403,"Realizado"))</x:f>
      </x:c>
      <x:c r="Q45" s="96" t="str">
        <x:f t="shared" si="9"/>
      </x:c>
    </x:row>
    <x:row r="46" ht="20" customHeight="1">
      <x:c r="A46" s="96" t="str">
        <x:f t="shared" si="5"/>
      </x:c>
      <x:c r="B46" s="64"/>
      <x:c r="C46" s="96" t="str">
        <x:f>IF(B46="","",IFERROR(INDEX(Pacientes!$A$4:$A$203,MATCH(B46,Pacientes!$B$4:$B$203,0)),""))</x:f>
      </x:c>
      <x:c r="D46" s="72"/>
      <x:c r="E46" s="64"/>
      <x:c r="F46" s="70"/>
      <x:c r="G46" s="92" t="str">
        <x:f>IF(E46="","",IF(E46="Consulta Avulsa",Configuracoes!$B$4,IF(E46="Plano Quinzenal",Configuracoes!$B$5,IF(E46="Plano Semanal",Configuracoes!$B$6,""))))</x:f>
      </x:c>
      <x:c r="H46" s="92" t="str">
        <x:f t="shared" si="6"/>
      </x:c>
      <x:c r="I46" s="64"/>
      <x:c r="J46" s="94" t="n">
        <x:f>IF(I46="PIX",Configuracoes!$E$4,0)</x:f>
        <x:v>0</x:v>
      </x:c>
      <x:c r="K46" s="92" t="str">
        <x:f t="shared" si="7"/>
      </x:c>
      <x:c r="L46" s="92" t="str">
        <x:f t="shared" si="8"/>
      </x:c>
      <x:c r="M46" s="70"/>
      <x:c r="N46" s="72"/>
      <x:c r="O46" s="64"/>
      <x:c r="P46" s="96" t="str">
        <x:f>IF(A46="","",COUNTIFS(Atendimentos!$B$4:$B$403,A46,Atendimentos!$H$4:$H$403,"Realizado"))</x:f>
      </x:c>
      <x:c r="Q46" s="96" t="str">
        <x:f t="shared" si="9"/>
      </x:c>
    </x:row>
    <x:row r="47" ht="20" customHeight="1">
      <x:c r="A47" s="96" t="str">
        <x:f t="shared" si="5"/>
      </x:c>
      <x:c r="B47" s="64"/>
      <x:c r="C47" s="96" t="str">
        <x:f>IF(B47="","",IFERROR(INDEX(Pacientes!$A$4:$A$203,MATCH(B47,Pacientes!$B$4:$B$203,0)),""))</x:f>
      </x:c>
      <x:c r="D47" s="72"/>
      <x:c r="E47" s="64"/>
      <x:c r="F47" s="70"/>
      <x:c r="G47" s="92" t="str">
        <x:f>IF(E47="","",IF(E47="Consulta Avulsa",Configuracoes!$B$4,IF(E47="Plano Quinzenal",Configuracoes!$B$5,IF(E47="Plano Semanal",Configuracoes!$B$6,""))))</x:f>
      </x:c>
      <x:c r="H47" s="92" t="str">
        <x:f t="shared" si="6"/>
      </x:c>
      <x:c r="I47" s="64"/>
      <x:c r="J47" s="94" t="n">
        <x:f>IF(I47="PIX",Configuracoes!$E$4,0)</x:f>
        <x:v>0</x:v>
      </x:c>
      <x:c r="K47" s="92" t="str">
        <x:f t="shared" si="7"/>
      </x:c>
      <x:c r="L47" s="92" t="str">
        <x:f t="shared" si="8"/>
      </x:c>
      <x:c r="M47" s="70"/>
      <x:c r="N47" s="72"/>
      <x:c r="O47" s="64"/>
      <x:c r="P47" s="96" t="str">
        <x:f>IF(A47="","",COUNTIFS(Atendimentos!$B$4:$B$403,A47,Atendimentos!$H$4:$H$403,"Realizado"))</x:f>
      </x:c>
      <x:c r="Q47" s="96" t="str">
        <x:f t="shared" si="9"/>
      </x:c>
    </x:row>
    <x:row r="48" ht="20" customHeight="1">
      <x:c r="A48" s="96" t="str">
        <x:f t="shared" si="5"/>
      </x:c>
      <x:c r="B48" s="64"/>
      <x:c r="C48" s="96" t="str">
        <x:f>IF(B48="","",IFERROR(INDEX(Pacientes!$A$4:$A$203,MATCH(B48,Pacientes!$B$4:$B$203,0)),""))</x:f>
      </x:c>
      <x:c r="D48" s="72"/>
      <x:c r="E48" s="64"/>
      <x:c r="F48" s="70"/>
      <x:c r="G48" s="92" t="str">
        <x:f>IF(E48="","",IF(E48="Consulta Avulsa",Configuracoes!$B$4,IF(E48="Plano Quinzenal",Configuracoes!$B$5,IF(E48="Plano Semanal",Configuracoes!$B$6,""))))</x:f>
      </x:c>
      <x:c r="H48" s="92" t="str">
        <x:f t="shared" si="6"/>
      </x:c>
      <x:c r="I48" s="64"/>
      <x:c r="J48" s="94" t="n">
        <x:f>IF(I48="PIX",Configuracoes!$E$4,0)</x:f>
        <x:v>0</x:v>
      </x:c>
      <x:c r="K48" s="92" t="str">
        <x:f t="shared" si="7"/>
      </x:c>
      <x:c r="L48" s="92" t="str">
        <x:f t="shared" si="8"/>
      </x:c>
      <x:c r="M48" s="70"/>
      <x:c r="N48" s="72"/>
      <x:c r="O48" s="64"/>
      <x:c r="P48" s="96" t="str">
        <x:f>IF(A48="","",COUNTIFS(Atendimentos!$B$4:$B$403,A48,Atendimentos!$H$4:$H$403,"Realizado"))</x:f>
      </x:c>
      <x:c r="Q48" s="96" t="str">
        <x:f t="shared" si="9"/>
      </x:c>
    </x:row>
    <x:row r="49" ht="20" customHeight="1">
      <x:c r="A49" s="96" t="str">
        <x:f t="shared" si="5"/>
      </x:c>
      <x:c r="B49" s="64"/>
      <x:c r="C49" s="96" t="str">
        <x:f>IF(B49="","",IFERROR(INDEX(Pacientes!$A$4:$A$203,MATCH(B49,Pacientes!$B$4:$B$203,0)),""))</x:f>
      </x:c>
      <x:c r="D49" s="72"/>
      <x:c r="E49" s="64"/>
      <x:c r="F49" s="70"/>
      <x:c r="G49" s="92" t="str">
        <x:f>IF(E49="","",IF(E49="Consulta Avulsa",Configuracoes!$B$4,IF(E49="Plano Quinzenal",Configuracoes!$B$5,IF(E49="Plano Semanal",Configuracoes!$B$6,""))))</x:f>
      </x:c>
      <x:c r="H49" s="92" t="str">
        <x:f t="shared" si="6"/>
      </x:c>
      <x:c r="I49" s="64"/>
      <x:c r="J49" s="94" t="n">
        <x:f>IF(I49="PIX",Configuracoes!$E$4,0)</x:f>
        <x:v>0</x:v>
      </x:c>
      <x:c r="K49" s="92" t="str">
        <x:f t="shared" si="7"/>
      </x:c>
      <x:c r="L49" s="92" t="str">
        <x:f t="shared" si="8"/>
      </x:c>
      <x:c r="M49" s="70"/>
      <x:c r="N49" s="72"/>
      <x:c r="O49" s="64"/>
      <x:c r="P49" s="96" t="str">
        <x:f>IF(A49="","",COUNTIFS(Atendimentos!$B$4:$B$403,A49,Atendimentos!$H$4:$H$403,"Realizado"))</x:f>
      </x:c>
      <x:c r="Q49" s="96" t="str">
        <x:f t="shared" si="9"/>
      </x:c>
    </x:row>
    <x:row r="50" ht="20" customHeight="1">
      <x:c r="A50" s="96" t="str">
        <x:f t="shared" si="5"/>
      </x:c>
      <x:c r="B50" s="64"/>
      <x:c r="C50" s="96" t="str">
        <x:f>IF(B50="","",IFERROR(INDEX(Pacientes!$A$4:$A$203,MATCH(B50,Pacientes!$B$4:$B$203,0)),""))</x:f>
      </x:c>
      <x:c r="D50" s="72"/>
      <x:c r="E50" s="64"/>
      <x:c r="F50" s="70"/>
      <x:c r="G50" s="92" t="str">
        <x:f>IF(E50="","",IF(E50="Consulta Avulsa",Configuracoes!$B$4,IF(E50="Plano Quinzenal",Configuracoes!$B$5,IF(E50="Plano Semanal",Configuracoes!$B$6,""))))</x:f>
      </x:c>
      <x:c r="H50" s="92" t="str">
        <x:f t="shared" si="6"/>
      </x:c>
      <x:c r="I50" s="64"/>
      <x:c r="J50" s="94" t="n">
        <x:f>IF(I50="PIX",Configuracoes!$E$4,0)</x:f>
        <x:v>0</x:v>
      </x:c>
      <x:c r="K50" s="92" t="str">
        <x:f t="shared" si="7"/>
      </x:c>
      <x:c r="L50" s="92" t="str">
        <x:f t="shared" si="8"/>
      </x:c>
      <x:c r="M50" s="70"/>
      <x:c r="N50" s="72"/>
      <x:c r="O50" s="64"/>
      <x:c r="P50" s="96" t="str">
        <x:f>IF(A50="","",COUNTIFS(Atendimentos!$B$4:$B$403,A50,Atendimentos!$H$4:$H$403,"Realizado"))</x:f>
      </x:c>
      <x:c r="Q50" s="96" t="str">
        <x:f t="shared" si="9"/>
      </x:c>
    </x:row>
    <x:row r="51" ht="20" customHeight="1">
      <x:c r="A51" s="96" t="str">
        <x:f t="shared" si="5"/>
      </x:c>
      <x:c r="B51" s="64"/>
      <x:c r="C51" s="96" t="str">
        <x:f>IF(B51="","",IFERROR(INDEX(Pacientes!$A$4:$A$203,MATCH(B51,Pacientes!$B$4:$B$203,0)),""))</x:f>
      </x:c>
      <x:c r="D51" s="72"/>
      <x:c r="E51" s="64"/>
      <x:c r="F51" s="70"/>
      <x:c r="G51" s="92" t="str">
        <x:f>IF(E51="","",IF(E51="Consulta Avulsa",Configuracoes!$B$4,IF(E51="Plano Quinzenal",Configuracoes!$B$5,IF(E51="Plano Semanal",Configuracoes!$B$6,""))))</x:f>
      </x:c>
      <x:c r="H51" s="92" t="str">
        <x:f t="shared" si="6"/>
      </x:c>
      <x:c r="I51" s="64"/>
      <x:c r="J51" s="94" t="n">
        <x:f>IF(I51="PIX",Configuracoes!$E$4,0)</x:f>
        <x:v>0</x:v>
      </x:c>
      <x:c r="K51" s="92" t="str">
        <x:f t="shared" si="7"/>
      </x:c>
      <x:c r="L51" s="92" t="str">
        <x:f t="shared" si="8"/>
      </x:c>
      <x:c r="M51" s="70"/>
      <x:c r="N51" s="72"/>
      <x:c r="O51" s="64"/>
      <x:c r="P51" s="96" t="str">
        <x:f>IF(A51="","",COUNTIFS(Atendimentos!$B$4:$B$403,A51,Atendimentos!$H$4:$H$403,"Realizado"))</x:f>
      </x:c>
      <x:c r="Q51" s="96" t="str">
        <x:f t="shared" si="9"/>
      </x:c>
    </x:row>
    <x:row r="52" ht="20" customHeight="1">
      <x:c r="A52" s="96" t="str">
        <x:f t="shared" si="5"/>
      </x:c>
      <x:c r="B52" s="64"/>
      <x:c r="C52" s="96" t="str">
        <x:f>IF(B52="","",IFERROR(INDEX(Pacientes!$A$4:$A$203,MATCH(B52,Pacientes!$B$4:$B$203,0)),""))</x:f>
      </x:c>
      <x:c r="D52" s="72"/>
      <x:c r="E52" s="64"/>
      <x:c r="F52" s="70"/>
      <x:c r="G52" s="92" t="str">
        <x:f>IF(E52="","",IF(E52="Consulta Avulsa",Configuracoes!$B$4,IF(E52="Plano Quinzenal",Configuracoes!$B$5,IF(E52="Plano Semanal",Configuracoes!$B$6,""))))</x:f>
      </x:c>
      <x:c r="H52" s="92" t="str">
        <x:f t="shared" si="6"/>
      </x:c>
      <x:c r="I52" s="64"/>
      <x:c r="J52" s="94" t="n">
        <x:f>IF(I52="PIX",Configuracoes!$E$4,0)</x:f>
        <x:v>0</x:v>
      </x:c>
      <x:c r="K52" s="92" t="str">
        <x:f t="shared" si="7"/>
      </x:c>
      <x:c r="L52" s="92" t="str">
        <x:f t="shared" si="8"/>
      </x:c>
      <x:c r="M52" s="70"/>
      <x:c r="N52" s="72"/>
      <x:c r="O52" s="64"/>
      <x:c r="P52" s="96" t="str">
        <x:f>IF(A52="","",COUNTIFS(Atendimentos!$B$4:$B$403,A52,Atendimentos!$H$4:$H$403,"Realizado"))</x:f>
      </x:c>
      <x:c r="Q52" s="96" t="str">
        <x:f t="shared" si="9"/>
      </x:c>
    </x:row>
    <x:row r="53" ht="20" customHeight="1">
      <x:c r="A53" s="96" t="str">
        <x:f t="shared" si="5"/>
      </x:c>
      <x:c r="B53" s="64"/>
      <x:c r="C53" s="96" t="str">
        <x:f>IF(B53="","",IFERROR(INDEX(Pacientes!$A$4:$A$203,MATCH(B53,Pacientes!$B$4:$B$203,0)),""))</x:f>
      </x:c>
      <x:c r="D53" s="72"/>
      <x:c r="E53" s="64"/>
      <x:c r="F53" s="70"/>
      <x:c r="G53" s="92" t="str">
        <x:f>IF(E53="","",IF(E53="Consulta Avulsa",Configuracoes!$B$4,IF(E53="Plano Quinzenal",Configuracoes!$B$5,IF(E53="Plano Semanal",Configuracoes!$B$6,""))))</x:f>
      </x:c>
      <x:c r="H53" s="92" t="str">
        <x:f t="shared" si="6"/>
      </x:c>
      <x:c r="I53" s="64"/>
      <x:c r="J53" s="94" t="n">
        <x:f>IF(I53="PIX",Configuracoes!$E$4,0)</x:f>
        <x:v>0</x:v>
      </x:c>
      <x:c r="K53" s="92" t="str">
        <x:f t="shared" si="7"/>
      </x:c>
      <x:c r="L53" s="92" t="str">
        <x:f t="shared" si="8"/>
      </x:c>
      <x:c r="M53" s="70"/>
      <x:c r="N53" s="72"/>
      <x:c r="O53" s="64"/>
      <x:c r="P53" s="96" t="str">
        <x:f>IF(A53="","",COUNTIFS(Atendimentos!$B$4:$B$403,A53,Atendimentos!$H$4:$H$403,"Realizado"))</x:f>
      </x:c>
      <x:c r="Q53" s="96" t="str">
        <x:f t="shared" si="9"/>
      </x:c>
    </x:row>
    <x:row r="54" ht="20" customHeight="1">
      <x:c r="A54" s="96" t="str">
        <x:f t="shared" si="5"/>
      </x:c>
      <x:c r="B54" s="64"/>
      <x:c r="C54" s="96" t="str">
        <x:f>IF(B54="","",IFERROR(INDEX(Pacientes!$A$4:$A$203,MATCH(B54,Pacientes!$B$4:$B$203,0)),""))</x:f>
      </x:c>
      <x:c r="D54" s="72"/>
      <x:c r="E54" s="64"/>
      <x:c r="F54" s="70"/>
      <x:c r="G54" s="92" t="str">
        <x:f>IF(E54="","",IF(E54="Consulta Avulsa",Configuracoes!$B$4,IF(E54="Plano Quinzenal",Configuracoes!$B$5,IF(E54="Plano Semanal",Configuracoes!$B$6,""))))</x:f>
      </x:c>
      <x:c r="H54" s="92" t="str">
        <x:f t="shared" si="6"/>
      </x:c>
      <x:c r="I54" s="64"/>
      <x:c r="J54" s="94" t="n">
        <x:f>IF(I54="PIX",Configuracoes!$E$4,0)</x:f>
        <x:v>0</x:v>
      </x:c>
      <x:c r="K54" s="92" t="str">
        <x:f t="shared" si="7"/>
      </x:c>
      <x:c r="L54" s="92" t="str">
        <x:f t="shared" si="8"/>
      </x:c>
      <x:c r="M54" s="70"/>
      <x:c r="N54" s="72"/>
      <x:c r="O54" s="64"/>
      <x:c r="P54" s="96" t="str">
        <x:f>IF(A54="","",COUNTIFS(Atendimentos!$B$4:$B$403,A54,Atendimentos!$H$4:$H$403,"Realizado"))</x:f>
      </x:c>
      <x:c r="Q54" s="96" t="str">
        <x:f t="shared" si="9"/>
      </x:c>
    </x:row>
    <x:row r="55" ht="20" customHeight="1">
      <x:c r="A55" s="96" t="str">
        <x:f t="shared" si="5"/>
      </x:c>
      <x:c r="B55" s="64"/>
      <x:c r="C55" s="96" t="str">
        <x:f>IF(B55="","",IFERROR(INDEX(Pacientes!$A$4:$A$203,MATCH(B55,Pacientes!$B$4:$B$203,0)),""))</x:f>
      </x:c>
      <x:c r="D55" s="72"/>
      <x:c r="E55" s="64"/>
      <x:c r="F55" s="70"/>
      <x:c r="G55" s="92" t="str">
        <x:f>IF(E55="","",IF(E55="Consulta Avulsa",Configuracoes!$B$4,IF(E55="Plano Quinzenal",Configuracoes!$B$5,IF(E55="Plano Semanal",Configuracoes!$B$6,""))))</x:f>
      </x:c>
      <x:c r="H55" s="92" t="str">
        <x:f t="shared" si="6"/>
      </x:c>
      <x:c r="I55" s="64"/>
      <x:c r="J55" s="94" t="n">
        <x:f>IF(I55="PIX",Configuracoes!$E$4,0)</x:f>
        <x:v>0</x:v>
      </x:c>
      <x:c r="K55" s="92" t="str">
        <x:f t="shared" si="7"/>
      </x:c>
      <x:c r="L55" s="92" t="str">
        <x:f t="shared" si="8"/>
      </x:c>
      <x:c r="M55" s="70"/>
      <x:c r="N55" s="72"/>
      <x:c r="O55" s="64"/>
      <x:c r="P55" s="96" t="str">
        <x:f>IF(A55="","",COUNTIFS(Atendimentos!$B$4:$B$403,A55,Atendimentos!$H$4:$H$403,"Realizado"))</x:f>
      </x:c>
      <x:c r="Q55" s="96" t="str">
        <x:f t="shared" si="9"/>
      </x:c>
    </x:row>
    <x:row r="56" ht="20" customHeight="1">
      <x:c r="A56" s="96" t="str">
        <x:f t="shared" si="5"/>
      </x:c>
      <x:c r="B56" s="64"/>
      <x:c r="C56" s="96" t="str">
        <x:f>IF(B56="","",IFERROR(INDEX(Pacientes!$A$4:$A$203,MATCH(B56,Pacientes!$B$4:$B$203,0)),""))</x:f>
      </x:c>
      <x:c r="D56" s="72"/>
      <x:c r="E56" s="64"/>
      <x:c r="F56" s="70"/>
      <x:c r="G56" s="92" t="str">
        <x:f>IF(E56="","",IF(E56="Consulta Avulsa",Configuracoes!$B$4,IF(E56="Plano Quinzenal",Configuracoes!$B$5,IF(E56="Plano Semanal",Configuracoes!$B$6,""))))</x:f>
      </x:c>
      <x:c r="H56" s="92" t="str">
        <x:f t="shared" si="6"/>
      </x:c>
      <x:c r="I56" s="64"/>
      <x:c r="J56" s="94" t="n">
        <x:f>IF(I56="PIX",Configuracoes!$E$4,0)</x:f>
        <x:v>0</x:v>
      </x:c>
      <x:c r="K56" s="92" t="str">
        <x:f t="shared" si="7"/>
      </x:c>
      <x:c r="L56" s="92" t="str">
        <x:f t="shared" si="8"/>
      </x:c>
      <x:c r="M56" s="70"/>
      <x:c r="N56" s="72"/>
      <x:c r="O56" s="64"/>
      <x:c r="P56" s="96" t="str">
        <x:f>IF(A56="","",COUNTIFS(Atendimentos!$B$4:$B$403,A56,Atendimentos!$H$4:$H$403,"Realizado"))</x:f>
      </x:c>
      <x:c r="Q56" s="96" t="str">
        <x:f t="shared" si="9"/>
      </x:c>
    </x:row>
    <x:row r="57" ht="20" customHeight="1">
      <x:c r="A57" s="96" t="str">
        <x:f t="shared" si="5"/>
      </x:c>
      <x:c r="B57" s="64"/>
      <x:c r="C57" s="96" t="str">
        <x:f>IF(B57="","",IFERROR(INDEX(Pacientes!$A$4:$A$203,MATCH(B57,Pacientes!$B$4:$B$203,0)),""))</x:f>
      </x:c>
      <x:c r="D57" s="72"/>
      <x:c r="E57" s="64"/>
      <x:c r="F57" s="70"/>
      <x:c r="G57" s="92" t="str">
        <x:f>IF(E57="","",IF(E57="Consulta Avulsa",Configuracoes!$B$4,IF(E57="Plano Quinzenal",Configuracoes!$B$5,IF(E57="Plano Semanal",Configuracoes!$B$6,""))))</x:f>
      </x:c>
      <x:c r="H57" s="92" t="str">
        <x:f t="shared" si="6"/>
      </x:c>
      <x:c r="I57" s="64"/>
      <x:c r="J57" s="94" t="n">
        <x:f>IF(I57="PIX",Configuracoes!$E$4,0)</x:f>
        <x:v>0</x:v>
      </x:c>
      <x:c r="K57" s="92" t="str">
        <x:f t="shared" si="7"/>
      </x:c>
      <x:c r="L57" s="92" t="str">
        <x:f t="shared" si="8"/>
      </x:c>
      <x:c r="M57" s="70"/>
      <x:c r="N57" s="72"/>
      <x:c r="O57" s="64"/>
      <x:c r="P57" s="96" t="str">
        <x:f>IF(A57="","",COUNTIFS(Atendimentos!$B$4:$B$403,A57,Atendimentos!$H$4:$H$403,"Realizado"))</x:f>
      </x:c>
      <x:c r="Q57" s="96" t="str">
        <x:f t="shared" si="9"/>
      </x:c>
    </x:row>
    <x:row r="58" ht="20" customHeight="1">
      <x:c r="A58" s="96" t="str">
        <x:f t="shared" si="5"/>
      </x:c>
      <x:c r="B58" s="64"/>
      <x:c r="C58" s="96" t="str">
        <x:f>IF(B58="","",IFERROR(INDEX(Pacientes!$A$4:$A$203,MATCH(B58,Pacientes!$B$4:$B$203,0)),""))</x:f>
      </x:c>
      <x:c r="D58" s="72"/>
      <x:c r="E58" s="64"/>
      <x:c r="F58" s="70"/>
      <x:c r="G58" s="92" t="str">
        <x:f>IF(E58="","",IF(E58="Consulta Avulsa",Configuracoes!$B$4,IF(E58="Plano Quinzenal",Configuracoes!$B$5,IF(E58="Plano Semanal",Configuracoes!$B$6,""))))</x:f>
      </x:c>
      <x:c r="H58" s="92" t="str">
        <x:f t="shared" si="6"/>
      </x:c>
      <x:c r="I58" s="64"/>
      <x:c r="J58" s="94" t="n">
        <x:f>IF(I58="PIX",Configuracoes!$E$4,0)</x:f>
        <x:v>0</x:v>
      </x:c>
      <x:c r="K58" s="92" t="str">
        <x:f t="shared" si="7"/>
      </x:c>
      <x:c r="L58" s="92" t="str">
        <x:f t="shared" si="8"/>
      </x:c>
      <x:c r="M58" s="70"/>
      <x:c r="N58" s="72"/>
      <x:c r="O58" s="64"/>
      <x:c r="P58" s="96" t="str">
        <x:f>IF(A58="","",COUNTIFS(Atendimentos!$B$4:$B$403,A58,Atendimentos!$H$4:$H$403,"Realizado"))</x:f>
      </x:c>
      <x:c r="Q58" s="96" t="str">
        <x:f t="shared" si="9"/>
      </x:c>
    </x:row>
    <x:row r="59" ht="20" customHeight="1">
      <x:c r="A59" s="96" t="str">
        <x:f t="shared" si="5"/>
      </x:c>
      <x:c r="B59" s="64"/>
      <x:c r="C59" s="96" t="str">
        <x:f>IF(B59="","",IFERROR(INDEX(Pacientes!$A$4:$A$203,MATCH(B59,Pacientes!$B$4:$B$203,0)),""))</x:f>
      </x:c>
      <x:c r="D59" s="72"/>
      <x:c r="E59" s="64"/>
      <x:c r="F59" s="70"/>
      <x:c r="G59" s="92" t="str">
        <x:f>IF(E59="","",IF(E59="Consulta Avulsa",Configuracoes!$B$4,IF(E59="Plano Quinzenal",Configuracoes!$B$5,IF(E59="Plano Semanal",Configuracoes!$B$6,""))))</x:f>
      </x:c>
      <x:c r="H59" s="92" t="str">
        <x:f t="shared" si="6"/>
      </x:c>
      <x:c r="I59" s="64"/>
      <x:c r="J59" s="94" t="n">
        <x:f>IF(I59="PIX",Configuracoes!$E$4,0)</x:f>
        <x:v>0</x:v>
      </x:c>
      <x:c r="K59" s="92" t="str">
        <x:f t="shared" si="7"/>
      </x:c>
      <x:c r="L59" s="92" t="str">
        <x:f t="shared" si="8"/>
      </x:c>
      <x:c r="M59" s="70"/>
      <x:c r="N59" s="72"/>
      <x:c r="O59" s="64"/>
      <x:c r="P59" s="96" t="str">
        <x:f>IF(A59="","",COUNTIFS(Atendimentos!$B$4:$B$403,A59,Atendimentos!$H$4:$H$403,"Realizado"))</x:f>
      </x:c>
      <x:c r="Q59" s="96" t="str">
        <x:f t="shared" si="9"/>
      </x:c>
    </x:row>
    <x:row r="60" ht="20" customHeight="1">
      <x:c r="A60" s="96" t="str">
        <x:f t="shared" si="5"/>
      </x:c>
      <x:c r="B60" s="64"/>
      <x:c r="C60" s="96" t="str">
        <x:f>IF(B60="","",IFERROR(INDEX(Pacientes!$A$4:$A$203,MATCH(B60,Pacientes!$B$4:$B$203,0)),""))</x:f>
      </x:c>
      <x:c r="D60" s="72"/>
      <x:c r="E60" s="64"/>
      <x:c r="F60" s="70"/>
      <x:c r="G60" s="92" t="str">
        <x:f>IF(E60="","",IF(E60="Consulta Avulsa",Configuracoes!$B$4,IF(E60="Plano Quinzenal",Configuracoes!$B$5,IF(E60="Plano Semanal",Configuracoes!$B$6,""))))</x:f>
      </x:c>
      <x:c r="H60" s="92" t="str">
        <x:f t="shared" si="6"/>
      </x:c>
      <x:c r="I60" s="64"/>
      <x:c r="J60" s="94" t="n">
        <x:f>IF(I60="PIX",Configuracoes!$E$4,0)</x:f>
        <x:v>0</x:v>
      </x:c>
      <x:c r="K60" s="92" t="str">
        <x:f t="shared" si="7"/>
      </x:c>
      <x:c r="L60" s="92" t="str">
        <x:f t="shared" si="8"/>
      </x:c>
      <x:c r="M60" s="70"/>
      <x:c r="N60" s="72"/>
      <x:c r="O60" s="64"/>
      <x:c r="P60" s="96" t="str">
        <x:f>IF(A60="","",COUNTIFS(Atendimentos!$B$4:$B$403,A60,Atendimentos!$H$4:$H$403,"Realizado"))</x:f>
      </x:c>
      <x:c r="Q60" s="96" t="str">
        <x:f t="shared" si="9"/>
      </x:c>
    </x:row>
    <x:row r="61" ht="20" customHeight="1">
      <x:c r="A61" s="96" t="str">
        <x:f t="shared" si="5"/>
      </x:c>
      <x:c r="B61" s="64"/>
      <x:c r="C61" s="96" t="str">
        <x:f>IF(B61="","",IFERROR(INDEX(Pacientes!$A$4:$A$203,MATCH(B61,Pacientes!$B$4:$B$203,0)),""))</x:f>
      </x:c>
      <x:c r="D61" s="72"/>
      <x:c r="E61" s="64"/>
      <x:c r="F61" s="70"/>
      <x:c r="G61" s="92" t="str">
        <x:f>IF(E61="","",IF(E61="Consulta Avulsa",Configuracoes!$B$4,IF(E61="Plano Quinzenal",Configuracoes!$B$5,IF(E61="Plano Semanal",Configuracoes!$B$6,""))))</x:f>
      </x:c>
      <x:c r="H61" s="92" t="str">
        <x:f t="shared" si="6"/>
      </x:c>
      <x:c r="I61" s="64"/>
      <x:c r="J61" s="94" t="n">
        <x:f>IF(I61="PIX",Configuracoes!$E$4,0)</x:f>
        <x:v>0</x:v>
      </x:c>
      <x:c r="K61" s="92" t="str">
        <x:f t="shared" si="7"/>
      </x:c>
      <x:c r="L61" s="92" t="str">
        <x:f t="shared" si="8"/>
      </x:c>
      <x:c r="M61" s="70"/>
      <x:c r="N61" s="72"/>
      <x:c r="O61" s="64"/>
      <x:c r="P61" s="96" t="str">
        <x:f>IF(A61="","",COUNTIFS(Atendimentos!$B$4:$B$403,A61,Atendimentos!$H$4:$H$403,"Realizado"))</x:f>
      </x:c>
      <x:c r="Q61" s="96" t="str">
        <x:f t="shared" si="9"/>
      </x:c>
    </x:row>
    <x:row r="62" ht="20" customHeight="1">
      <x:c r="A62" s="96" t="str">
        <x:f t="shared" si="5"/>
      </x:c>
      <x:c r="B62" s="64"/>
      <x:c r="C62" s="96" t="str">
        <x:f>IF(B62="","",IFERROR(INDEX(Pacientes!$A$4:$A$203,MATCH(B62,Pacientes!$B$4:$B$203,0)),""))</x:f>
      </x:c>
      <x:c r="D62" s="72"/>
      <x:c r="E62" s="64"/>
      <x:c r="F62" s="70"/>
      <x:c r="G62" s="92" t="str">
        <x:f>IF(E62="","",IF(E62="Consulta Avulsa",Configuracoes!$B$4,IF(E62="Plano Quinzenal",Configuracoes!$B$5,IF(E62="Plano Semanal",Configuracoes!$B$6,""))))</x:f>
      </x:c>
      <x:c r="H62" s="92" t="str">
        <x:f t="shared" si="6"/>
      </x:c>
      <x:c r="I62" s="64"/>
      <x:c r="J62" s="94" t="n">
        <x:f>IF(I62="PIX",Configuracoes!$E$4,0)</x:f>
        <x:v>0</x:v>
      </x:c>
      <x:c r="K62" s="92" t="str">
        <x:f t="shared" si="7"/>
      </x:c>
      <x:c r="L62" s="92" t="str">
        <x:f t="shared" si="8"/>
      </x:c>
      <x:c r="M62" s="70"/>
      <x:c r="N62" s="72"/>
      <x:c r="O62" s="64"/>
      <x:c r="P62" s="96" t="str">
        <x:f>IF(A62="","",COUNTIFS(Atendimentos!$B$4:$B$403,A62,Atendimentos!$H$4:$H$403,"Realizado"))</x:f>
      </x:c>
      <x:c r="Q62" s="96" t="str">
        <x:f t="shared" si="9"/>
      </x:c>
    </x:row>
    <x:row r="63" ht="20" customHeight="1">
      <x:c r="A63" s="96" t="str">
        <x:f t="shared" si="5"/>
      </x:c>
      <x:c r="B63" s="64"/>
      <x:c r="C63" s="96" t="str">
        <x:f>IF(B63="","",IFERROR(INDEX(Pacientes!$A$4:$A$203,MATCH(B63,Pacientes!$B$4:$B$203,0)),""))</x:f>
      </x:c>
      <x:c r="D63" s="72"/>
      <x:c r="E63" s="64"/>
      <x:c r="F63" s="70"/>
      <x:c r="G63" s="92" t="str">
        <x:f>IF(E63="","",IF(E63="Consulta Avulsa",Configuracoes!$B$4,IF(E63="Plano Quinzenal",Configuracoes!$B$5,IF(E63="Plano Semanal",Configuracoes!$B$6,""))))</x:f>
      </x:c>
      <x:c r="H63" s="92" t="str">
        <x:f t="shared" si="6"/>
      </x:c>
      <x:c r="I63" s="64"/>
      <x:c r="J63" s="94" t="n">
        <x:f>IF(I63="PIX",Configuracoes!$E$4,0)</x:f>
        <x:v>0</x:v>
      </x:c>
      <x:c r="K63" s="92" t="str">
        <x:f t="shared" si="7"/>
      </x:c>
      <x:c r="L63" s="92" t="str">
        <x:f t="shared" si="8"/>
      </x:c>
      <x:c r="M63" s="70"/>
      <x:c r="N63" s="72"/>
      <x:c r="O63" s="64"/>
      <x:c r="P63" s="96" t="str">
        <x:f>IF(A63="","",COUNTIFS(Atendimentos!$B$4:$B$403,A63,Atendimentos!$H$4:$H$403,"Realizado"))</x:f>
      </x:c>
      <x:c r="Q63" s="96" t="str">
        <x:f t="shared" si="9"/>
      </x:c>
    </x:row>
    <x:row r="64" ht="20" customHeight="1">
      <x:c r="A64" s="96" t="str">
        <x:f t="shared" si="5"/>
      </x:c>
      <x:c r="B64" s="64"/>
      <x:c r="C64" s="96" t="str">
        <x:f>IF(B64="","",IFERROR(INDEX(Pacientes!$A$4:$A$203,MATCH(B64,Pacientes!$B$4:$B$203,0)),""))</x:f>
      </x:c>
      <x:c r="D64" s="72"/>
      <x:c r="E64" s="64"/>
      <x:c r="F64" s="70"/>
      <x:c r="G64" s="92" t="str">
        <x:f>IF(E64="","",IF(E64="Consulta Avulsa",Configuracoes!$B$4,IF(E64="Plano Quinzenal",Configuracoes!$B$5,IF(E64="Plano Semanal",Configuracoes!$B$6,""))))</x:f>
      </x:c>
      <x:c r="H64" s="92" t="str">
        <x:f t="shared" si="6"/>
      </x:c>
      <x:c r="I64" s="64"/>
      <x:c r="J64" s="94" t="n">
        <x:f>IF(I64="PIX",Configuracoes!$E$4,0)</x:f>
        <x:v>0</x:v>
      </x:c>
      <x:c r="K64" s="92" t="str">
        <x:f t="shared" si="7"/>
      </x:c>
      <x:c r="L64" s="92" t="str">
        <x:f t="shared" si="8"/>
      </x:c>
      <x:c r="M64" s="70"/>
      <x:c r="N64" s="72"/>
      <x:c r="O64" s="64"/>
      <x:c r="P64" s="96" t="str">
        <x:f>IF(A64="","",COUNTIFS(Atendimentos!$B$4:$B$403,A64,Atendimentos!$H$4:$H$403,"Realizado"))</x:f>
      </x:c>
      <x:c r="Q64" s="96" t="str">
        <x:f t="shared" si="9"/>
      </x:c>
    </x:row>
    <x:row r="65" ht="20" customHeight="1">
      <x:c r="A65" s="96" t="str">
        <x:f t="shared" si="5"/>
      </x:c>
      <x:c r="B65" s="64"/>
      <x:c r="C65" s="96" t="str">
        <x:f>IF(B65="","",IFERROR(INDEX(Pacientes!$A$4:$A$203,MATCH(B65,Pacientes!$B$4:$B$203,0)),""))</x:f>
      </x:c>
      <x:c r="D65" s="72"/>
      <x:c r="E65" s="64"/>
      <x:c r="F65" s="70"/>
      <x:c r="G65" s="92" t="str">
        <x:f>IF(E65="","",IF(E65="Consulta Avulsa",Configuracoes!$B$4,IF(E65="Plano Quinzenal",Configuracoes!$B$5,IF(E65="Plano Semanal",Configuracoes!$B$6,""))))</x:f>
      </x:c>
      <x:c r="H65" s="92" t="str">
        <x:f t="shared" si="6"/>
      </x:c>
      <x:c r="I65" s="64"/>
      <x:c r="J65" s="94" t="n">
        <x:f>IF(I65="PIX",Configuracoes!$E$4,0)</x:f>
        <x:v>0</x:v>
      </x:c>
      <x:c r="K65" s="92" t="str">
        <x:f t="shared" si="7"/>
      </x:c>
      <x:c r="L65" s="92" t="str">
        <x:f t="shared" si="8"/>
      </x:c>
      <x:c r="M65" s="70"/>
      <x:c r="N65" s="72"/>
      <x:c r="O65" s="64"/>
      <x:c r="P65" s="96" t="str">
        <x:f>IF(A65="","",COUNTIFS(Atendimentos!$B$4:$B$403,A65,Atendimentos!$H$4:$H$403,"Realizado"))</x:f>
      </x:c>
      <x:c r="Q65" s="96" t="str">
        <x:f t="shared" si="9"/>
      </x:c>
    </x:row>
    <x:row r="66" ht="20" customHeight="1">
      <x:c r="A66" s="96" t="str">
        <x:f t="shared" si="5"/>
      </x:c>
      <x:c r="B66" s="64"/>
      <x:c r="C66" s="96" t="str">
        <x:f>IF(B66="","",IFERROR(INDEX(Pacientes!$A$4:$A$203,MATCH(B66,Pacientes!$B$4:$B$203,0)),""))</x:f>
      </x:c>
      <x:c r="D66" s="72"/>
      <x:c r="E66" s="64"/>
      <x:c r="F66" s="70"/>
      <x:c r="G66" s="92" t="str">
        <x:f>IF(E66="","",IF(E66="Consulta Avulsa",Configuracoes!$B$4,IF(E66="Plano Quinzenal",Configuracoes!$B$5,IF(E66="Plano Semanal",Configuracoes!$B$6,""))))</x:f>
      </x:c>
      <x:c r="H66" s="92" t="str">
        <x:f t="shared" si="6"/>
      </x:c>
      <x:c r="I66" s="64"/>
      <x:c r="J66" s="94" t="n">
        <x:f>IF(I66="PIX",Configuracoes!$E$4,0)</x:f>
        <x:v>0</x:v>
      </x:c>
      <x:c r="K66" s="92" t="str">
        <x:f t="shared" si="7"/>
      </x:c>
      <x:c r="L66" s="92" t="str">
        <x:f t="shared" si="8"/>
      </x:c>
      <x:c r="M66" s="70"/>
      <x:c r="N66" s="72"/>
      <x:c r="O66" s="64"/>
      <x:c r="P66" s="96" t="str">
        <x:f>IF(A66="","",COUNTIFS(Atendimentos!$B$4:$B$403,A66,Atendimentos!$H$4:$H$403,"Realizado"))</x:f>
      </x:c>
      <x:c r="Q66" s="96" t="str">
        <x:f t="shared" si="9"/>
      </x:c>
    </x:row>
    <x:row r="67" ht="20" customHeight="1">
      <x:c r="A67" s="96" t="str">
        <x:f t="shared" si="5"/>
      </x:c>
      <x:c r="B67" s="64"/>
      <x:c r="C67" s="96" t="str">
        <x:f>IF(B67="","",IFERROR(INDEX(Pacientes!$A$4:$A$203,MATCH(B67,Pacientes!$B$4:$B$203,0)),""))</x:f>
      </x:c>
      <x:c r="D67" s="72"/>
      <x:c r="E67" s="64"/>
      <x:c r="F67" s="70"/>
      <x:c r="G67" s="92" t="str">
        <x:f>IF(E67="","",IF(E67="Consulta Avulsa",Configuracoes!$B$4,IF(E67="Plano Quinzenal",Configuracoes!$B$5,IF(E67="Plano Semanal",Configuracoes!$B$6,""))))</x:f>
      </x:c>
      <x:c r="H67" s="92" t="str">
        <x:f t="shared" si="6"/>
      </x:c>
      <x:c r="I67" s="64"/>
      <x:c r="J67" s="94" t="n">
        <x:f>IF(I67="PIX",Configuracoes!$E$4,0)</x:f>
        <x:v>0</x:v>
      </x:c>
      <x:c r="K67" s="92" t="str">
        <x:f t="shared" si="7"/>
      </x:c>
      <x:c r="L67" s="92" t="str">
        <x:f t="shared" si="8"/>
      </x:c>
      <x:c r="M67" s="70"/>
      <x:c r="N67" s="72"/>
      <x:c r="O67" s="64"/>
      <x:c r="P67" s="96" t="str">
        <x:f>IF(A67="","",COUNTIFS(Atendimentos!$B$4:$B$403,A67,Atendimentos!$H$4:$H$403,"Realizado"))</x:f>
      </x:c>
      <x:c r="Q67" s="96" t="str">
        <x:f t="shared" si="9"/>
      </x:c>
    </x:row>
    <x:row r="68" ht="20" customHeight="1">
      <x:c r="A68" s="96" t="str">
        <x:f t="shared" ref="A68:A99" si="10">IF(B68="","",ROW()-3)</x:f>
      </x:c>
      <x:c r="B68" s="64"/>
      <x:c r="C68" s="96" t="str">
        <x:f>IF(B68="","",IFERROR(INDEX(Pacientes!$A$4:$A$203,MATCH(B68,Pacientes!$B$4:$B$203,0)),""))</x:f>
      </x:c>
      <x:c r="D68" s="72"/>
      <x:c r="E68" s="64"/>
      <x:c r="F68" s="70"/>
      <x:c r="G68" s="92" t="str">
        <x:f>IF(E68="","",IF(E68="Consulta Avulsa",Configuracoes!$B$4,IF(E68="Plano Quinzenal",Configuracoes!$B$5,IF(E68="Plano Semanal",Configuracoes!$B$6,""))))</x:f>
      </x:c>
      <x:c r="H68" s="92" t="str">
        <x:f t="shared" ref="H68:H99" si="11">IF(OR(F68="",G68=""),"",F68*G68)</x:f>
      </x:c>
      <x:c r="I68" s="64"/>
      <x:c r="J68" s="94" t="n">
        <x:f>IF(I68="PIX",Configuracoes!$E$4,0)</x:f>
        <x:v>0</x:v>
      </x:c>
      <x:c r="K68" s="92" t="str">
        <x:f t="shared" ref="K68:K99" si="12">IF(H68="","",H68*J68)</x:f>
      </x:c>
      <x:c r="L68" s="92" t="str">
        <x:f t="shared" ref="L68:L99" si="13">IF(H68="","",H68-K68)</x:f>
      </x:c>
      <x:c r="M68" s="70"/>
      <x:c r="N68" s="72"/>
      <x:c r="O68" s="64"/>
      <x:c r="P68" s="96" t="str">
        <x:f>IF(A68="","",COUNTIFS(Atendimentos!$B$4:$B$403,A68,Atendimentos!$H$4:$H$403,"Realizado"))</x:f>
      </x:c>
      <x:c r="Q68" s="96" t="str">
        <x:f t="shared" ref="Q68:Q99" si="14">IF(F68="","",MAX(F68-P68,0))</x:f>
      </x:c>
    </x:row>
    <x:row r="69" ht="20" customHeight="1">
      <x:c r="A69" s="96" t="str">
        <x:f t="shared" si="10"/>
      </x:c>
      <x:c r="B69" s="64"/>
      <x:c r="C69" s="96" t="str">
        <x:f>IF(B69="","",IFERROR(INDEX(Pacientes!$A$4:$A$203,MATCH(B69,Pacientes!$B$4:$B$203,0)),""))</x:f>
      </x:c>
      <x:c r="D69" s="72"/>
      <x:c r="E69" s="64"/>
      <x:c r="F69" s="70"/>
      <x:c r="G69" s="92" t="str">
        <x:f>IF(E69="","",IF(E69="Consulta Avulsa",Configuracoes!$B$4,IF(E69="Plano Quinzenal",Configuracoes!$B$5,IF(E69="Plano Semanal",Configuracoes!$B$6,""))))</x:f>
      </x:c>
      <x:c r="H69" s="92" t="str">
        <x:f t="shared" si="11"/>
      </x:c>
      <x:c r="I69" s="64"/>
      <x:c r="J69" s="94" t="n">
        <x:f>IF(I69="PIX",Configuracoes!$E$4,0)</x:f>
        <x:v>0</x:v>
      </x:c>
      <x:c r="K69" s="92" t="str">
        <x:f t="shared" si="12"/>
      </x:c>
      <x:c r="L69" s="92" t="str">
        <x:f t="shared" si="13"/>
      </x:c>
      <x:c r="M69" s="70"/>
      <x:c r="N69" s="72"/>
      <x:c r="O69" s="64"/>
      <x:c r="P69" s="96" t="str">
        <x:f>IF(A69="","",COUNTIFS(Atendimentos!$B$4:$B$403,A69,Atendimentos!$H$4:$H$403,"Realizado"))</x:f>
      </x:c>
      <x:c r="Q69" s="96" t="str">
        <x:f t="shared" si="14"/>
      </x:c>
    </x:row>
    <x:row r="70" ht="20" customHeight="1">
      <x:c r="A70" s="96" t="str">
        <x:f t="shared" si="10"/>
      </x:c>
      <x:c r="B70" s="64"/>
      <x:c r="C70" s="96" t="str">
        <x:f>IF(B70="","",IFERROR(INDEX(Pacientes!$A$4:$A$203,MATCH(B70,Pacientes!$B$4:$B$203,0)),""))</x:f>
      </x:c>
      <x:c r="D70" s="72"/>
      <x:c r="E70" s="64"/>
      <x:c r="F70" s="70"/>
      <x:c r="G70" s="92" t="str">
        <x:f>IF(E70="","",IF(E70="Consulta Avulsa",Configuracoes!$B$4,IF(E70="Plano Quinzenal",Configuracoes!$B$5,IF(E70="Plano Semanal",Configuracoes!$B$6,""))))</x:f>
      </x:c>
      <x:c r="H70" s="92" t="str">
        <x:f t="shared" si="11"/>
      </x:c>
      <x:c r="I70" s="64"/>
      <x:c r="J70" s="94" t="n">
        <x:f>IF(I70="PIX",Configuracoes!$E$4,0)</x:f>
        <x:v>0</x:v>
      </x:c>
      <x:c r="K70" s="92" t="str">
        <x:f t="shared" si="12"/>
      </x:c>
      <x:c r="L70" s="92" t="str">
        <x:f t="shared" si="13"/>
      </x:c>
      <x:c r="M70" s="70"/>
      <x:c r="N70" s="72"/>
      <x:c r="O70" s="64"/>
      <x:c r="P70" s="96" t="str">
        <x:f>IF(A70="","",COUNTIFS(Atendimentos!$B$4:$B$403,A70,Atendimentos!$H$4:$H$403,"Realizado"))</x:f>
      </x:c>
      <x:c r="Q70" s="96" t="str">
        <x:f t="shared" si="14"/>
      </x:c>
    </x:row>
    <x:row r="71" ht="20" customHeight="1">
      <x:c r="A71" s="96" t="str">
        <x:f t="shared" si="10"/>
      </x:c>
      <x:c r="B71" s="64"/>
      <x:c r="C71" s="96" t="str">
        <x:f>IF(B71="","",IFERROR(INDEX(Pacientes!$A$4:$A$203,MATCH(B71,Pacientes!$B$4:$B$203,0)),""))</x:f>
      </x:c>
      <x:c r="D71" s="72"/>
      <x:c r="E71" s="64"/>
      <x:c r="F71" s="70"/>
      <x:c r="G71" s="92" t="str">
        <x:f>IF(E71="","",IF(E71="Consulta Avulsa",Configuracoes!$B$4,IF(E71="Plano Quinzenal",Configuracoes!$B$5,IF(E71="Plano Semanal",Configuracoes!$B$6,""))))</x:f>
      </x:c>
      <x:c r="H71" s="92" t="str">
        <x:f t="shared" si="11"/>
      </x:c>
      <x:c r="I71" s="64"/>
      <x:c r="J71" s="94" t="n">
        <x:f>IF(I71="PIX",Configuracoes!$E$4,0)</x:f>
        <x:v>0</x:v>
      </x:c>
      <x:c r="K71" s="92" t="str">
        <x:f t="shared" si="12"/>
      </x:c>
      <x:c r="L71" s="92" t="str">
        <x:f t="shared" si="13"/>
      </x:c>
      <x:c r="M71" s="70"/>
      <x:c r="N71" s="72"/>
      <x:c r="O71" s="64"/>
      <x:c r="P71" s="96" t="str">
        <x:f>IF(A71="","",COUNTIFS(Atendimentos!$B$4:$B$403,A71,Atendimentos!$H$4:$H$403,"Realizado"))</x:f>
      </x:c>
      <x:c r="Q71" s="96" t="str">
        <x:f t="shared" si="14"/>
      </x:c>
    </x:row>
    <x:row r="72" ht="20" customHeight="1">
      <x:c r="A72" s="96" t="str">
        <x:f t="shared" si="10"/>
      </x:c>
      <x:c r="B72" s="64"/>
      <x:c r="C72" s="96" t="str">
        <x:f>IF(B72="","",IFERROR(INDEX(Pacientes!$A$4:$A$203,MATCH(B72,Pacientes!$B$4:$B$203,0)),""))</x:f>
      </x:c>
      <x:c r="D72" s="72"/>
      <x:c r="E72" s="64"/>
      <x:c r="F72" s="70"/>
      <x:c r="G72" s="92" t="str">
        <x:f>IF(E72="","",IF(E72="Consulta Avulsa",Configuracoes!$B$4,IF(E72="Plano Quinzenal",Configuracoes!$B$5,IF(E72="Plano Semanal",Configuracoes!$B$6,""))))</x:f>
      </x:c>
      <x:c r="H72" s="92" t="str">
        <x:f t="shared" si="11"/>
      </x:c>
      <x:c r="I72" s="64"/>
      <x:c r="J72" s="94" t="n">
        <x:f>IF(I72="PIX",Configuracoes!$E$4,0)</x:f>
        <x:v>0</x:v>
      </x:c>
      <x:c r="K72" s="92" t="str">
        <x:f t="shared" si="12"/>
      </x:c>
      <x:c r="L72" s="92" t="str">
        <x:f t="shared" si="13"/>
      </x:c>
      <x:c r="M72" s="70"/>
      <x:c r="N72" s="72"/>
      <x:c r="O72" s="64"/>
      <x:c r="P72" s="96" t="str">
        <x:f>IF(A72="","",COUNTIFS(Atendimentos!$B$4:$B$403,A72,Atendimentos!$H$4:$H$403,"Realizado"))</x:f>
      </x:c>
      <x:c r="Q72" s="96" t="str">
        <x:f t="shared" si="14"/>
      </x:c>
    </x:row>
    <x:row r="73" ht="20" customHeight="1">
      <x:c r="A73" s="96" t="str">
        <x:f t="shared" si="10"/>
      </x:c>
      <x:c r="B73" s="64"/>
      <x:c r="C73" s="96" t="str">
        <x:f>IF(B73="","",IFERROR(INDEX(Pacientes!$A$4:$A$203,MATCH(B73,Pacientes!$B$4:$B$203,0)),""))</x:f>
      </x:c>
      <x:c r="D73" s="72"/>
      <x:c r="E73" s="64"/>
      <x:c r="F73" s="70"/>
      <x:c r="G73" s="92" t="str">
        <x:f>IF(E73="","",IF(E73="Consulta Avulsa",Configuracoes!$B$4,IF(E73="Plano Quinzenal",Configuracoes!$B$5,IF(E73="Plano Semanal",Configuracoes!$B$6,""))))</x:f>
      </x:c>
      <x:c r="H73" s="92" t="str">
        <x:f t="shared" si="11"/>
      </x:c>
      <x:c r="I73" s="64"/>
      <x:c r="J73" s="94" t="n">
        <x:f>IF(I73="PIX",Configuracoes!$E$4,0)</x:f>
        <x:v>0</x:v>
      </x:c>
      <x:c r="K73" s="92" t="str">
        <x:f t="shared" si="12"/>
      </x:c>
      <x:c r="L73" s="92" t="str">
        <x:f t="shared" si="13"/>
      </x:c>
      <x:c r="M73" s="70"/>
      <x:c r="N73" s="72"/>
      <x:c r="O73" s="64"/>
      <x:c r="P73" s="96" t="str">
        <x:f>IF(A73="","",COUNTIFS(Atendimentos!$B$4:$B$403,A73,Atendimentos!$H$4:$H$403,"Realizado"))</x:f>
      </x:c>
      <x:c r="Q73" s="96" t="str">
        <x:f t="shared" si="14"/>
      </x:c>
    </x:row>
    <x:row r="74" ht="20" customHeight="1">
      <x:c r="A74" s="96" t="str">
        <x:f t="shared" si="10"/>
      </x:c>
      <x:c r="B74" s="64"/>
      <x:c r="C74" s="96" t="str">
        <x:f>IF(B74="","",IFERROR(INDEX(Pacientes!$A$4:$A$203,MATCH(B74,Pacientes!$B$4:$B$203,0)),""))</x:f>
      </x:c>
      <x:c r="D74" s="72"/>
      <x:c r="E74" s="64"/>
      <x:c r="F74" s="70"/>
      <x:c r="G74" s="92" t="str">
        <x:f>IF(E74="","",IF(E74="Consulta Avulsa",Configuracoes!$B$4,IF(E74="Plano Quinzenal",Configuracoes!$B$5,IF(E74="Plano Semanal",Configuracoes!$B$6,""))))</x:f>
      </x:c>
      <x:c r="H74" s="92" t="str">
        <x:f t="shared" si="11"/>
      </x:c>
      <x:c r="I74" s="64"/>
      <x:c r="J74" s="94" t="n">
        <x:f>IF(I74="PIX",Configuracoes!$E$4,0)</x:f>
        <x:v>0</x:v>
      </x:c>
      <x:c r="K74" s="92" t="str">
        <x:f t="shared" si="12"/>
      </x:c>
      <x:c r="L74" s="92" t="str">
        <x:f t="shared" si="13"/>
      </x:c>
      <x:c r="M74" s="70"/>
      <x:c r="N74" s="72"/>
      <x:c r="O74" s="64"/>
      <x:c r="P74" s="96" t="str">
        <x:f>IF(A74="","",COUNTIFS(Atendimentos!$B$4:$B$403,A74,Atendimentos!$H$4:$H$403,"Realizado"))</x:f>
      </x:c>
      <x:c r="Q74" s="96" t="str">
        <x:f t="shared" si="14"/>
      </x:c>
    </x:row>
    <x:row r="75" ht="20" customHeight="1">
      <x:c r="A75" s="96" t="str">
        <x:f t="shared" si="10"/>
      </x:c>
      <x:c r="B75" s="64"/>
      <x:c r="C75" s="96" t="str">
        <x:f>IF(B75="","",IFERROR(INDEX(Pacientes!$A$4:$A$203,MATCH(B75,Pacientes!$B$4:$B$203,0)),""))</x:f>
      </x:c>
      <x:c r="D75" s="72"/>
      <x:c r="E75" s="64"/>
      <x:c r="F75" s="70"/>
      <x:c r="G75" s="92" t="str">
        <x:f>IF(E75="","",IF(E75="Consulta Avulsa",Configuracoes!$B$4,IF(E75="Plano Quinzenal",Configuracoes!$B$5,IF(E75="Plano Semanal",Configuracoes!$B$6,""))))</x:f>
      </x:c>
      <x:c r="H75" s="92" t="str">
        <x:f t="shared" si="11"/>
      </x:c>
      <x:c r="I75" s="64"/>
      <x:c r="J75" s="94" t="n">
        <x:f>IF(I75="PIX",Configuracoes!$E$4,0)</x:f>
        <x:v>0</x:v>
      </x:c>
      <x:c r="K75" s="92" t="str">
        <x:f t="shared" si="12"/>
      </x:c>
      <x:c r="L75" s="92" t="str">
        <x:f t="shared" si="13"/>
      </x:c>
      <x:c r="M75" s="70"/>
      <x:c r="N75" s="72"/>
      <x:c r="O75" s="64"/>
      <x:c r="P75" s="96" t="str">
        <x:f>IF(A75="","",COUNTIFS(Atendimentos!$B$4:$B$403,A75,Atendimentos!$H$4:$H$403,"Realizado"))</x:f>
      </x:c>
      <x:c r="Q75" s="96" t="str">
        <x:f t="shared" si="14"/>
      </x:c>
    </x:row>
    <x:row r="76" ht="20" customHeight="1">
      <x:c r="A76" s="96" t="str">
        <x:f t="shared" si="10"/>
      </x:c>
      <x:c r="B76" s="64"/>
      <x:c r="C76" s="96" t="str">
        <x:f>IF(B76="","",IFERROR(INDEX(Pacientes!$A$4:$A$203,MATCH(B76,Pacientes!$B$4:$B$203,0)),""))</x:f>
      </x:c>
      <x:c r="D76" s="72"/>
      <x:c r="E76" s="64"/>
      <x:c r="F76" s="70"/>
      <x:c r="G76" s="92" t="str">
        <x:f>IF(E76="","",IF(E76="Consulta Avulsa",Configuracoes!$B$4,IF(E76="Plano Quinzenal",Configuracoes!$B$5,IF(E76="Plano Semanal",Configuracoes!$B$6,""))))</x:f>
      </x:c>
      <x:c r="H76" s="92" t="str">
        <x:f t="shared" si="11"/>
      </x:c>
      <x:c r="I76" s="64"/>
      <x:c r="J76" s="94" t="n">
        <x:f>IF(I76="PIX",Configuracoes!$E$4,0)</x:f>
        <x:v>0</x:v>
      </x:c>
      <x:c r="K76" s="92" t="str">
        <x:f t="shared" si="12"/>
      </x:c>
      <x:c r="L76" s="92" t="str">
        <x:f t="shared" si="13"/>
      </x:c>
      <x:c r="M76" s="70"/>
      <x:c r="N76" s="72"/>
      <x:c r="O76" s="64"/>
      <x:c r="P76" s="96" t="str">
        <x:f>IF(A76="","",COUNTIFS(Atendimentos!$B$4:$B$403,A76,Atendimentos!$H$4:$H$403,"Realizado"))</x:f>
      </x:c>
      <x:c r="Q76" s="96" t="str">
        <x:f t="shared" si="14"/>
      </x:c>
    </x:row>
    <x:row r="77" ht="20" customHeight="1">
      <x:c r="A77" s="96" t="str">
        <x:f t="shared" si="10"/>
      </x:c>
      <x:c r="B77" s="64"/>
      <x:c r="C77" s="96" t="str">
        <x:f>IF(B77="","",IFERROR(INDEX(Pacientes!$A$4:$A$203,MATCH(B77,Pacientes!$B$4:$B$203,0)),""))</x:f>
      </x:c>
      <x:c r="D77" s="72"/>
      <x:c r="E77" s="64"/>
      <x:c r="F77" s="70"/>
      <x:c r="G77" s="92" t="str">
        <x:f>IF(E77="","",IF(E77="Consulta Avulsa",Configuracoes!$B$4,IF(E77="Plano Quinzenal",Configuracoes!$B$5,IF(E77="Plano Semanal",Configuracoes!$B$6,""))))</x:f>
      </x:c>
      <x:c r="H77" s="92" t="str">
        <x:f t="shared" si="11"/>
      </x:c>
      <x:c r="I77" s="64"/>
      <x:c r="J77" s="94" t="n">
        <x:f>IF(I77="PIX",Configuracoes!$E$4,0)</x:f>
        <x:v>0</x:v>
      </x:c>
      <x:c r="K77" s="92" t="str">
        <x:f t="shared" si="12"/>
      </x:c>
      <x:c r="L77" s="92" t="str">
        <x:f t="shared" si="13"/>
      </x:c>
      <x:c r="M77" s="70"/>
      <x:c r="N77" s="72"/>
      <x:c r="O77" s="64"/>
      <x:c r="P77" s="96" t="str">
        <x:f>IF(A77="","",COUNTIFS(Atendimentos!$B$4:$B$403,A77,Atendimentos!$H$4:$H$403,"Realizado"))</x:f>
      </x:c>
      <x:c r="Q77" s="96" t="str">
        <x:f t="shared" si="14"/>
      </x:c>
    </x:row>
    <x:row r="78" ht="20" customHeight="1">
      <x:c r="A78" s="96" t="str">
        <x:f t="shared" si="10"/>
      </x:c>
      <x:c r="B78" s="64"/>
      <x:c r="C78" s="96" t="str">
        <x:f>IF(B78="","",IFERROR(INDEX(Pacientes!$A$4:$A$203,MATCH(B78,Pacientes!$B$4:$B$203,0)),""))</x:f>
      </x:c>
      <x:c r="D78" s="72"/>
      <x:c r="E78" s="64"/>
      <x:c r="F78" s="70"/>
      <x:c r="G78" s="92" t="str">
        <x:f>IF(E78="","",IF(E78="Consulta Avulsa",Configuracoes!$B$4,IF(E78="Plano Quinzenal",Configuracoes!$B$5,IF(E78="Plano Semanal",Configuracoes!$B$6,""))))</x:f>
      </x:c>
      <x:c r="H78" s="92" t="str">
        <x:f t="shared" si="11"/>
      </x:c>
      <x:c r="I78" s="64"/>
      <x:c r="J78" s="94" t="n">
        <x:f>IF(I78="PIX",Configuracoes!$E$4,0)</x:f>
        <x:v>0</x:v>
      </x:c>
      <x:c r="K78" s="92" t="str">
        <x:f t="shared" si="12"/>
      </x:c>
      <x:c r="L78" s="92" t="str">
        <x:f t="shared" si="13"/>
      </x:c>
      <x:c r="M78" s="70"/>
      <x:c r="N78" s="72"/>
      <x:c r="O78" s="64"/>
      <x:c r="P78" s="96" t="str">
        <x:f>IF(A78="","",COUNTIFS(Atendimentos!$B$4:$B$403,A78,Atendimentos!$H$4:$H$403,"Realizado"))</x:f>
      </x:c>
      <x:c r="Q78" s="96" t="str">
        <x:f t="shared" si="14"/>
      </x:c>
    </x:row>
    <x:row r="79" ht="20" customHeight="1">
      <x:c r="A79" s="96" t="str">
        <x:f t="shared" si="10"/>
      </x:c>
      <x:c r="B79" s="64"/>
      <x:c r="C79" s="96" t="str">
        <x:f>IF(B79="","",IFERROR(INDEX(Pacientes!$A$4:$A$203,MATCH(B79,Pacientes!$B$4:$B$203,0)),""))</x:f>
      </x:c>
      <x:c r="D79" s="72"/>
      <x:c r="E79" s="64"/>
      <x:c r="F79" s="70"/>
      <x:c r="G79" s="92" t="str">
        <x:f>IF(E79="","",IF(E79="Consulta Avulsa",Configuracoes!$B$4,IF(E79="Plano Quinzenal",Configuracoes!$B$5,IF(E79="Plano Semanal",Configuracoes!$B$6,""))))</x:f>
      </x:c>
      <x:c r="H79" s="92" t="str">
        <x:f t="shared" si="11"/>
      </x:c>
      <x:c r="I79" s="64"/>
      <x:c r="J79" s="94" t="n">
        <x:f>IF(I79="PIX",Configuracoes!$E$4,0)</x:f>
        <x:v>0</x:v>
      </x:c>
      <x:c r="K79" s="92" t="str">
        <x:f t="shared" si="12"/>
      </x:c>
      <x:c r="L79" s="92" t="str">
        <x:f t="shared" si="13"/>
      </x:c>
      <x:c r="M79" s="70"/>
      <x:c r="N79" s="72"/>
      <x:c r="O79" s="64"/>
      <x:c r="P79" s="96" t="str">
        <x:f>IF(A79="","",COUNTIFS(Atendimentos!$B$4:$B$403,A79,Atendimentos!$H$4:$H$403,"Realizado"))</x:f>
      </x:c>
      <x:c r="Q79" s="96" t="str">
        <x:f t="shared" si="14"/>
      </x:c>
    </x:row>
    <x:row r="80" ht="20" customHeight="1">
      <x:c r="A80" s="96" t="str">
        <x:f t="shared" si="10"/>
      </x:c>
      <x:c r="B80" s="64"/>
      <x:c r="C80" s="96" t="str">
        <x:f>IF(B80="","",IFERROR(INDEX(Pacientes!$A$4:$A$203,MATCH(B80,Pacientes!$B$4:$B$203,0)),""))</x:f>
      </x:c>
      <x:c r="D80" s="72"/>
      <x:c r="E80" s="64"/>
      <x:c r="F80" s="70"/>
      <x:c r="G80" s="92" t="str">
        <x:f>IF(E80="","",IF(E80="Consulta Avulsa",Configuracoes!$B$4,IF(E80="Plano Quinzenal",Configuracoes!$B$5,IF(E80="Plano Semanal",Configuracoes!$B$6,""))))</x:f>
      </x:c>
      <x:c r="H80" s="92" t="str">
        <x:f t="shared" si="11"/>
      </x:c>
      <x:c r="I80" s="64"/>
      <x:c r="J80" s="94" t="n">
        <x:f>IF(I80="PIX",Configuracoes!$E$4,0)</x:f>
        <x:v>0</x:v>
      </x:c>
      <x:c r="K80" s="92" t="str">
        <x:f t="shared" si="12"/>
      </x:c>
      <x:c r="L80" s="92" t="str">
        <x:f t="shared" si="13"/>
      </x:c>
      <x:c r="M80" s="70"/>
      <x:c r="N80" s="72"/>
      <x:c r="O80" s="64"/>
      <x:c r="P80" s="96" t="str">
        <x:f>IF(A80="","",COUNTIFS(Atendimentos!$B$4:$B$403,A80,Atendimentos!$H$4:$H$403,"Realizado"))</x:f>
      </x:c>
      <x:c r="Q80" s="96" t="str">
        <x:f t="shared" si="14"/>
      </x:c>
    </x:row>
    <x:row r="81" ht="20" customHeight="1">
      <x:c r="A81" s="96" t="str">
        <x:f t="shared" si="10"/>
      </x:c>
      <x:c r="B81" s="64"/>
      <x:c r="C81" s="96" t="str">
        <x:f>IF(B81="","",IFERROR(INDEX(Pacientes!$A$4:$A$203,MATCH(B81,Pacientes!$B$4:$B$203,0)),""))</x:f>
      </x:c>
      <x:c r="D81" s="72"/>
      <x:c r="E81" s="64"/>
      <x:c r="F81" s="70"/>
      <x:c r="G81" s="92" t="str">
        <x:f>IF(E81="","",IF(E81="Consulta Avulsa",Configuracoes!$B$4,IF(E81="Plano Quinzenal",Configuracoes!$B$5,IF(E81="Plano Semanal",Configuracoes!$B$6,""))))</x:f>
      </x:c>
      <x:c r="H81" s="92" t="str">
        <x:f t="shared" si="11"/>
      </x:c>
      <x:c r="I81" s="64"/>
      <x:c r="J81" s="94" t="n">
        <x:f>IF(I81="PIX",Configuracoes!$E$4,0)</x:f>
        <x:v>0</x:v>
      </x:c>
      <x:c r="K81" s="92" t="str">
        <x:f t="shared" si="12"/>
      </x:c>
      <x:c r="L81" s="92" t="str">
        <x:f t="shared" si="13"/>
      </x:c>
      <x:c r="M81" s="70"/>
      <x:c r="N81" s="72"/>
      <x:c r="O81" s="64"/>
      <x:c r="P81" s="96" t="str">
        <x:f>IF(A81="","",COUNTIFS(Atendimentos!$B$4:$B$403,A81,Atendimentos!$H$4:$H$403,"Realizado"))</x:f>
      </x:c>
      <x:c r="Q81" s="96" t="str">
        <x:f t="shared" si="14"/>
      </x:c>
    </x:row>
    <x:row r="82" ht="20" customHeight="1">
      <x:c r="A82" s="96" t="str">
        <x:f t="shared" si="10"/>
      </x:c>
      <x:c r="B82" s="64"/>
      <x:c r="C82" s="96" t="str">
        <x:f>IF(B82="","",IFERROR(INDEX(Pacientes!$A$4:$A$203,MATCH(B82,Pacientes!$B$4:$B$203,0)),""))</x:f>
      </x:c>
      <x:c r="D82" s="72"/>
      <x:c r="E82" s="64"/>
      <x:c r="F82" s="70"/>
      <x:c r="G82" s="92" t="str">
        <x:f>IF(E82="","",IF(E82="Consulta Avulsa",Configuracoes!$B$4,IF(E82="Plano Quinzenal",Configuracoes!$B$5,IF(E82="Plano Semanal",Configuracoes!$B$6,""))))</x:f>
      </x:c>
      <x:c r="H82" s="92" t="str">
        <x:f t="shared" si="11"/>
      </x:c>
      <x:c r="I82" s="64"/>
      <x:c r="J82" s="94" t="n">
        <x:f>IF(I82="PIX",Configuracoes!$E$4,0)</x:f>
        <x:v>0</x:v>
      </x:c>
      <x:c r="K82" s="92" t="str">
        <x:f t="shared" si="12"/>
      </x:c>
      <x:c r="L82" s="92" t="str">
        <x:f t="shared" si="13"/>
      </x:c>
      <x:c r="M82" s="70"/>
      <x:c r="N82" s="72"/>
      <x:c r="O82" s="64"/>
      <x:c r="P82" s="96" t="str">
        <x:f>IF(A82="","",COUNTIFS(Atendimentos!$B$4:$B$403,A82,Atendimentos!$H$4:$H$403,"Realizado"))</x:f>
      </x:c>
      <x:c r="Q82" s="96" t="str">
        <x:f t="shared" si="14"/>
      </x:c>
    </x:row>
    <x:row r="83" ht="20" customHeight="1">
      <x:c r="A83" s="96" t="str">
        <x:f t="shared" si="10"/>
      </x:c>
      <x:c r="B83" s="64"/>
      <x:c r="C83" s="96" t="str">
        <x:f>IF(B83="","",IFERROR(INDEX(Pacientes!$A$4:$A$203,MATCH(B83,Pacientes!$B$4:$B$203,0)),""))</x:f>
      </x:c>
      <x:c r="D83" s="72"/>
      <x:c r="E83" s="64"/>
      <x:c r="F83" s="70"/>
      <x:c r="G83" s="92" t="str">
        <x:f>IF(E83="","",IF(E83="Consulta Avulsa",Configuracoes!$B$4,IF(E83="Plano Quinzenal",Configuracoes!$B$5,IF(E83="Plano Semanal",Configuracoes!$B$6,""))))</x:f>
      </x:c>
      <x:c r="H83" s="92" t="str">
        <x:f t="shared" si="11"/>
      </x:c>
      <x:c r="I83" s="64"/>
      <x:c r="J83" s="94" t="n">
        <x:f>IF(I83="PIX",Configuracoes!$E$4,0)</x:f>
        <x:v>0</x:v>
      </x:c>
      <x:c r="K83" s="92" t="str">
        <x:f t="shared" si="12"/>
      </x:c>
      <x:c r="L83" s="92" t="str">
        <x:f t="shared" si="13"/>
      </x:c>
      <x:c r="M83" s="70"/>
      <x:c r="N83" s="72"/>
      <x:c r="O83" s="64"/>
      <x:c r="P83" s="96" t="str">
        <x:f>IF(A83="","",COUNTIFS(Atendimentos!$B$4:$B$403,A83,Atendimentos!$H$4:$H$403,"Realizado"))</x:f>
      </x:c>
      <x:c r="Q83" s="96" t="str">
        <x:f t="shared" si="14"/>
      </x:c>
    </x:row>
    <x:row r="84" ht="20" customHeight="1">
      <x:c r="A84" s="96" t="str">
        <x:f t="shared" si="10"/>
      </x:c>
      <x:c r="B84" s="64"/>
      <x:c r="C84" s="96" t="str">
        <x:f>IF(B84="","",IFERROR(INDEX(Pacientes!$A$4:$A$203,MATCH(B84,Pacientes!$B$4:$B$203,0)),""))</x:f>
      </x:c>
      <x:c r="D84" s="72"/>
      <x:c r="E84" s="64"/>
      <x:c r="F84" s="70"/>
      <x:c r="G84" s="92" t="str">
        <x:f>IF(E84="","",IF(E84="Consulta Avulsa",Configuracoes!$B$4,IF(E84="Plano Quinzenal",Configuracoes!$B$5,IF(E84="Plano Semanal",Configuracoes!$B$6,""))))</x:f>
      </x:c>
      <x:c r="H84" s="92" t="str">
        <x:f t="shared" si="11"/>
      </x:c>
      <x:c r="I84" s="64"/>
      <x:c r="J84" s="94" t="n">
        <x:f>IF(I84="PIX",Configuracoes!$E$4,0)</x:f>
        <x:v>0</x:v>
      </x:c>
      <x:c r="K84" s="92" t="str">
        <x:f t="shared" si="12"/>
      </x:c>
      <x:c r="L84" s="92" t="str">
        <x:f t="shared" si="13"/>
      </x:c>
      <x:c r="M84" s="70"/>
      <x:c r="N84" s="72"/>
      <x:c r="O84" s="64"/>
      <x:c r="P84" s="96" t="str">
        <x:f>IF(A84="","",COUNTIFS(Atendimentos!$B$4:$B$403,A84,Atendimentos!$H$4:$H$403,"Realizado"))</x:f>
      </x:c>
      <x:c r="Q84" s="96" t="str">
        <x:f t="shared" si="14"/>
      </x:c>
    </x:row>
    <x:row r="85" ht="20" customHeight="1">
      <x:c r="A85" s="96" t="str">
        <x:f t="shared" si="10"/>
      </x:c>
      <x:c r="B85" s="64"/>
      <x:c r="C85" s="96" t="str">
        <x:f>IF(B85="","",IFERROR(INDEX(Pacientes!$A$4:$A$203,MATCH(B85,Pacientes!$B$4:$B$203,0)),""))</x:f>
      </x:c>
      <x:c r="D85" s="72"/>
      <x:c r="E85" s="64"/>
      <x:c r="F85" s="70"/>
      <x:c r="G85" s="92" t="str">
        <x:f>IF(E85="","",IF(E85="Consulta Avulsa",Configuracoes!$B$4,IF(E85="Plano Quinzenal",Configuracoes!$B$5,IF(E85="Plano Semanal",Configuracoes!$B$6,""))))</x:f>
      </x:c>
      <x:c r="H85" s="92" t="str">
        <x:f t="shared" si="11"/>
      </x:c>
      <x:c r="I85" s="64"/>
      <x:c r="J85" s="94" t="n">
        <x:f>IF(I85="PIX",Configuracoes!$E$4,0)</x:f>
        <x:v>0</x:v>
      </x:c>
      <x:c r="K85" s="92" t="str">
        <x:f t="shared" si="12"/>
      </x:c>
      <x:c r="L85" s="92" t="str">
        <x:f t="shared" si="13"/>
      </x:c>
      <x:c r="M85" s="70"/>
      <x:c r="N85" s="72"/>
      <x:c r="O85" s="64"/>
      <x:c r="P85" s="96" t="str">
        <x:f>IF(A85="","",COUNTIFS(Atendimentos!$B$4:$B$403,A85,Atendimentos!$H$4:$H$403,"Realizado"))</x:f>
      </x:c>
      <x:c r="Q85" s="96" t="str">
        <x:f t="shared" si="14"/>
      </x:c>
    </x:row>
    <x:row r="86" ht="20" customHeight="1">
      <x:c r="A86" s="96" t="str">
        <x:f t="shared" si="10"/>
      </x:c>
      <x:c r="B86" s="64"/>
      <x:c r="C86" s="96" t="str">
        <x:f>IF(B86="","",IFERROR(INDEX(Pacientes!$A$4:$A$203,MATCH(B86,Pacientes!$B$4:$B$203,0)),""))</x:f>
      </x:c>
      <x:c r="D86" s="72"/>
      <x:c r="E86" s="64"/>
      <x:c r="F86" s="70"/>
      <x:c r="G86" s="92" t="str">
        <x:f>IF(E86="","",IF(E86="Consulta Avulsa",Configuracoes!$B$4,IF(E86="Plano Quinzenal",Configuracoes!$B$5,IF(E86="Plano Semanal",Configuracoes!$B$6,""))))</x:f>
      </x:c>
      <x:c r="H86" s="92" t="str">
        <x:f t="shared" si="11"/>
      </x:c>
      <x:c r="I86" s="64"/>
      <x:c r="J86" s="94" t="n">
        <x:f>IF(I86="PIX",Configuracoes!$E$4,0)</x:f>
        <x:v>0</x:v>
      </x:c>
      <x:c r="K86" s="92" t="str">
        <x:f t="shared" si="12"/>
      </x:c>
      <x:c r="L86" s="92" t="str">
        <x:f t="shared" si="13"/>
      </x:c>
      <x:c r="M86" s="70"/>
      <x:c r="N86" s="72"/>
      <x:c r="O86" s="64"/>
      <x:c r="P86" s="96" t="str">
        <x:f>IF(A86="","",COUNTIFS(Atendimentos!$B$4:$B$403,A86,Atendimentos!$H$4:$H$403,"Realizado"))</x:f>
      </x:c>
      <x:c r="Q86" s="96" t="str">
        <x:f t="shared" si="14"/>
      </x:c>
    </x:row>
    <x:row r="87" ht="20" customHeight="1">
      <x:c r="A87" s="96" t="str">
        <x:f t="shared" si="10"/>
      </x:c>
      <x:c r="B87" s="64"/>
      <x:c r="C87" s="96" t="str">
        <x:f>IF(B87="","",IFERROR(INDEX(Pacientes!$A$4:$A$203,MATCH(B87,Pacientes!$B$4:$B$203,0)),""))</x:f>
      </x:c>
      <x:c r="D87" s="72"/>
      <x:c r="E87" s="64"/>
      <x:c r="F87" s="70"/>
      <x:c r="G87" s="92" t="str">
        <x:f>IF(E87="","",IF(E87="Consulta Avulsa",Configuracoes!$B$4,IF(E87="Plano Quinzenal",Configuracoes!$B$5,IF(E87="Plano Semanal",Configuracoes!$B$6,""))))</x:f>
      </x:c>
      <x:c r="H87" s="92" t="str">
        <x:f t="shared" si="11"/>
      </x:c>
      <x:c r="I87" s="64"/>
      <x:c r="J87" s="94" t="n">
        <x:f>IF(I87="PIX",Configuracoes!$E$4,0)</x:f>
        <x:v>0</x:v>
      </x:c>
      <x:c r="K87" s="92" t="str">
        <x:f t="shared" si="12"/>
      </x:c>
      <x:c r="L87" s="92" t="str">
        <x:f t="shared" si="13"/>
      </x:c>
      <x:c r="M87" s="70"/>
      <x:c r="N87" s="72"/>
      <x:c r="O87" s="64"/>
      <x:c r="P87" s="96" t="str">
        <x:f>IF(A87="","",COUNTIFS(Atendimentos!$B$4:$B$403,A87,Atendimentos!$H$4:$H$403,"Realizado"))</x:f>
      </x:c>
      <x:c r="Q87" s="96" t="str">
        <x:f t="shared" si="14"/>
      </x:c>
    </x:row>
    <x:row r="88" ht="20" customHeight="1">
      <x:c r="A88" s="96" t="str">
        <x:f t="shared" si="10"/>
      </x:c>
      <x:c r="B88" s="64"/>
      <x:c r="C88" s="96" t="str">
        <x:f>IF(B88="","",IFERROR(INDEX(Pacientes!$A$4:$A$203,MATCH(B88,Pacientes!$B$4:$B$203,0)),""))</x:f>
      </x:c>
      <x:c r="D88" s="72"/>
      <x:c r="E88" s="64"/>
      <x:c r="F88" s="70"/>
      <x:c r="G88" s="92" t="str">
        <x:f>IF(E88="","",IF(E88="Consulta Avulsa",Configuracoes!$B$4,IF(E88="Plano Quinzenal",Configuracoes!$B$5,IF(E88="Plano Semanal",Configuracoes!$B$6,""))))</x:f>
      </x:c>
      <x:c r="H88" s="92" t="str">
        <x:f t="shared" si="11"/>
      </x:c>
      <x:c r="I88" s="64"/>
      <x:c r="J88" s="94" t="n">
        <x:f>IF(I88="PIX",Configuracoes!$E$4,0)</x:f>
        <x:v>0</x:v>
      </x:c>
      <x:c r="K88" s="92" t="str">
        <x:f t="shared" si="12"/>
      </x:c>
      <x:c r="L88" s="92" t="str">
        <x:f t="shared" si="13"/>
      </x:c>
      <x:c r="M88" s="70"/>
      <x:c r="N88" s="72"/>
      <x:c r="O88" s="64"/>
      <x:c r="P88" s="96" t="str">
        <x:f>IF(A88="","",COUNTIFS(Atendimentos!$B$4:$B$403,A88,Atendimentos!$H$4:$H$403,"Realizado"))</x:f>
      </x:c>
      <x:c r="Q88" s="96" t="str">
        <x:f t="shared" si="14"/>
      </x:c>
    </x:row>
    <x:row r="89" ht="20" customHeight="1">
      <x:c r="A89" s="96" t="str">
        <x:f t="shared" si="10"/>
      </x:c>
      <x:c r="B89" s="64"/>
      <x:c r="C89" s="96" t="str">
        <x:f>IF(B89="","",IFERROR(INDEX(Pacientes!$A$4:$A$203,MATCH(B89,Pacientes!$B$4:$B$203,0)),""))</x:f>
      </x:c>
      <x:c r="D89" s="72"/>
      <x:c r="E89" s="64"/>
      <x:c r="F89" s="70"/>
      <x:c r="G89" s="92" t="str">
        <x:f>IF(E89="","",IF(E89="Consulta Avulsa",Configuracoes!$B$4,IF(E89="Plano Quinzenal",Configuracoes!$B$5,IF(E89="Plano Semanal",Configuracoes!$B$6,""))))</x:f>
      </x:c>
      <x:c r="H89" s="92" t="str">
        <x:f t="shared" si="11"/>
      </x:c>
      <x:c r="I89" s="64"/>
      <x:c r="J89" s="94" t="n">
        <x:f>IF(I89="PIX",Configuracoes!$E$4,0)</x:f>
        <x:v>0</x:v>
      </x:c>
      <x:c r="K89" s="92" t="str">
        <x:f t="shared" si="12"/>
      </x:c>
      <x:c r="L89" s="92" t="str">
        <x:f t="shared" si="13"/>
      </x:c>
      <x:c r="M89" s="70"/>
      <x:c r="N89" s="72"/>
      <x:c r="O89" s="64"/>
      <x:c r="P89" s="96" t="str">
        <x:f>IF(A89="","",COUNTIFS(Atendimentos!$B$4:$B$403,A89,Atendimentos!$H$4:$H$403,"Realizado"))</x:f>
      </x:c>
      <x:c r="Q89" s="96" t="str">
        <x:f t="shared" si="14"/>
      </x:c>
    </x:row>
    <x:row r="90" ht="20" customHeight="1">
      <x:c r="A90" s="96" t="str">
        <x:f t="shared" si="10"/>
      </x:c>
      <x:c r="B90" s="64"/>
      <x:c r="C90" s="96" t="str">
        <x:f>IF(B90="","",IFERROR(INDEX(Pacientes!$A$4:$A$203,MATCH(B90,Pacientes!$B$4:$B$203,0)),""))</x:f>
      </x:c>
      <x:c r="D90" s="72"/>
      <x:c r="E90" s="64"/>
      <x:c r="F90" s="70"/>
      <x:c r="G90" s="92" t="str">
        <x:f>IF(E90="","",IF(E90="Consulta Avulsa",Configuracoes!$B$4,IF(E90="Plano Quinzenal",Configuracoes!$B$5,IF(E90="Plano Semanal",Configuracoes!$B$6,""))))</x:f>
      </x:c>
      <x:c r="H90" s="92" t="str">
        <x:f t="shared" si="11"/>
      </x:c>
      <x:c r="I90" s="64"/>
      <x:c r="J90" s="94" t="n">
        <x:f>IF(I90="PIX",Configuracoes!$E$4,0)</x:f>
        <x:v>0</x:v>
      </x:c>
      <x:c r="K90" s="92" t="str">
        <x:f t="shared" si="12"/>
      </x:c>
      <x:c r="L90" s="92" t="str">
        <x:f t="shared" si="13"/>
      </x:c>
      <x:c r="M90" s="70"/>
      <x:c r="N90" s="72"/>
      <x:c r="O90" s="64"/>
      <x:c r="P90" s="96" t="str">
        <x:f>IF(A90="","",COUNTIFS(Atendimentos!$B$4:$B$403,A90,Atendimentos!$H$4:$H$403,"Realizado"))</x:f>
      </x:c>
      <x:c r="Q90" s="96" t="str">
        <x:f t="shared" si="14"/>
      </x:c>
    </x:row>
    <x:row r="91" ht="20" customHeight="1">
      <x:c r="A91" s="96" t="str">
        <x:f t="shared" si="10"/>
      </x:c>
      <x:c r="B91" s="64"/>
      <x:c r="C91" s="96" t="str">
        <x:f>IF(B91="","",IFERROR(INDEX(Pacientes!$A$4:$A$203,MATCH(B91,Pacientes!$B$4:$B$203,0)),""))</x:f>
      </x:c>
      <x:c r="D91" s="72"/>
      <x:c r="E91" s="64"/>
      <x:c r="F91" s="70"/>
      <x:c r="G91" s="92" t="str">
        <x:f>IF(E91="","",IF(E91="Consulta Avulsa",Configuracoes!$B$4,IF(E91="Plano Quinzenal",Configuracoes!$B$5,IF(E91="Plano Semanal",Configuracoes!$B$6,""))))</x:f>
      </x:c>
      <x:c r="H91" s="92" t="str">
        <x:f t="shared" si="11"/>
      </x:c>
      <x:c r="I91" s="64"/>
      <x:c r="J91" s="94" t="n">
        <x:f>IF(I91="PIX",Configuracoes!$E$4,0)</x:f>
        <x:v>0</x:v>
      </x:c>
      <x:c r="K91" s="92" t="str">
        <x:f t="shared" si="12"/>
      </x:c>
      <x:c r="L91" s="92" t="str">
        <x:f t="shared" si="13"/>
      </x:c>
      <x:c r="M91" s="70"/>
      <x:c r="N91" s="72"/>
      <x:c r="O91" s="64"/>
      <x:c r="P91" s="96" t="str">
        <x:f>IF(A91="","",COUNTIFS(Atendimentos!$B$4:$B$403,A91,Atendimentos!$H$4:$H$403,"Realizado"))</x:f>
      </x:c>
      <x:c r="Q91" s="96" t="str">
        <x:f t="shared" si="14"/>
      </x:c>
    </x:row>
    <x:row r="92" ht="20" customHeight="1">
      <x:c r="A92" s="96" t="str">
        <x:f t="shared" si="10"/>
      </x:c>
      <x:c r="B92" s="64"/>
      <x:c r="C92" s="96" t="str">
        <x:f>IF(B92="","",IFERROR(INDEX(Pacientes!$A$4:$A$203,MATCH(B92,Pacientes!$B$4:$B$203,0)),""))</x:f>
      </x:c>
      <x:c r="D92" s="72"/>
      <x:c r="E92" s="64"/>
      <x:c r="F92" s="70"/>
      <x:c r="G92" s="92" t="str">
        <x:f>IF(E92="","",IF(E92="Consulta Avulsa",Configuracoes!$B$4,IF(E92="Plano Quinzenal",Configuracoes!$B$5,IF(E92="Plano Semanal",Configuracoes!$B$6,""))))</x:f>
      </x:c>
      <x:c r="H92" s="92" t="str">
        <x:f t="shared" si="11"/>
      </x:c>
      <x:c r="I92" s="64"/>
      <x:c r="J92" s="94" t="n">
        <x:f>IF(I92="PIX",Configuracoes!$E$4,0)</x:f>
        <x:v>0</x:v>
      </x:c>
      <x:c r="K92" s="92" t="str">
        <x:f t="shared" si="12"/>
      </x:c>
      <x:c r="L92" s="92" t="str">
        <x:f t="shared" si="13"/>
      </x:c>
      <x:c r="M92" s="70"/>
      <x:c r="N92" s="72"/>
      <x:c r="O92" s="64"/>
      <x:c r="P92" s="96" t="str">
        <x:f>IF(A92="","",COUNTIFS(Atendimentos!$B$4:$B$403,A92,Atendimentos!$H$4:$H$403,"Realizado"))</x:f>
      </x:c>
      <x:c r="Q92" s="96" t="str">
        <x:f t="shared" si="14"/>
      </x:c>
    </x:row>
    <x:row r="93" ht="20" customHeight="1">
      <x:c r="A93" s="96" t="str">
        <x:f t="shared" si="10"/>
      </x:c>
      <x:c r="B93" s="64"/>
      <x:c r="C93" s="96" t="str">
        <x:f>IF(B93="","",IFERROR(INDEX(Pacientes!$A$4:$A$203,MATCH(B93,Pacientes!$B$4:$B$203,0)),""))</x:f>
      </x:c>
      <x:c r="D93" s="72"/>
      <x:c r="E93" s="64"/>
      <x:c r="F93" s="70"/>
      <x:c r="G93" s="92" t="str">
        <x:f>IF(E93="","",IF(E93="Consulta Avulsa",Configuracoes!$B$4,IF(E93="Plano Quinzenal",Configuracoes!$B$5,IF(E93="Plano Semanal",Configuracoes!$B$6,""))))</x:f>
      </x:c>
      <x:c r="H93" s="92" t="str">
        <x:f t="shared" si="11"/>
      </x:c>
      <x:c r="I93" s="64"/>
      <x:c r="J93" s="94" t="n">
        <x:f>IF(I93="PIX",Configuracoes!$E$4,0)</x:f>
        <x:v>0</x:v>
      </x:c>
      <x:c r="K93" s="92" t="str">
        <x:f t="shared" si="12"/>
      </x:c>
      <x:c r="L93" s="92" t="str">
        <x:f t="shared" si="13"/>
      </x:c>
      <x:c r="M93" s="70"/>
      <x:c r="N93" s="72"/>
      <x:c r="O93" s="64"/>
      <x:c r="P93" s="96" t="str">
        <x:f>IF(A93="","",COUNTIFS(Atendimentos!$B$4:$B$403,A93,Atendimentos!$H$4:$H$403,"Realizado"))</x:f>
      </x:c>
      <x:c r="Q93" s="96" t="str">
        <x:f t="shared" si="14"/>
      </x:c>
    </x:row>
    <x:row r="94" ht="20" customHeight="1">
      <x:c r="A94" s="96" t="str">
        <x:f t="shared" si="10"/>
      </x:c>
      <x:c r="B94" s="64"/>
      <x:c r="C94" s="96" t="str">
        <x:f>IF(B94="","",IFERROR(INDEX(Pacientes!$A$4:$A$203,MATCH(B94,Pacientes!$B$4:$B$203,0)),""))</x:f>
      </x:c>
      <x:c r="D94" s="72"/>
      <x:c r="E94" s="64"/>
      <x:c r="F94" s="70"/>
      <x:c r="G94" s="92" t="str">
        <x:f>IF(E94="","",IF(E94="Consulta Avulsa",Configuracoes!$B$4,IF(E94="Plano Quinzenal",Configuracoes!$B$5,IF(E94="Plano Semanal",Configuracoes!$B$6,""))))</x:f>
      </x:c>
      <x:c r="H94" s="92" t="str">
        <x:f t="shared" si="11"/>
      </x:c>
      <x:c r="I94" s="64"/>
      <x:c r="J94" s="94" t="n">
        <x:f>IF(I94="PIX",Configuracoes!$E$4,0)</x:f>
        <x:v>0</x:v>
      </x:c>
      <x:c r="K94" s="92" t="str">
        <x:f t="shared" si="12"/>
      </x:c>
      <x:c r="L94" s="92" t="str">
        <x:f t="shared" si="13"/>
      </x:c>
      <x:c r="M94" s="70"/>
      <x:c r="N94" s="72"/>
      <x:c r="O94" s="64"/>
      <x:c r="P94" s="96" t="str">
        <x:f>IF(A94="","",COUNTIFS(Atendimentos!$B$4:$B$403,A94,Atendimentos!$H$4:$H$403,"Realizado"))</x:f>
      </x:c>
      <x:c r="Q94" s="96" t="str">
        <x:f t="shared" si="14"/>
      </x:c>
    </x:row>
    <x:row r="95" ht="20" customHeight="1">
      <x:c r="A95" s="96" t="str">
        <x:f t="shared" si="10"/>
      </x:c>
      <x:c r="B95" s="64"/>
      <x:c r="C95" s="96" t="str">
        <x:f>IF(B95="","",IFERROR(INDEX(Pacientes!$A$4:$A$203,MATCH(B95,Pacientes!$B$4:$B$203,0)),""))</x:f>
      </x:c>
      <x:c r="D95" s="72"/>
      <x:c r="E95" s="64"/>
      <x:c r="F95" s="70"/>
      <x:c r="G95" s="92" t="str">
        <x:f>IF(E95="","",IF(E95="Consulta Avulsa",Configuracoes!$B$4,IF(E95="Plano Quinzenal",Configuracoes!$B$5,IF(E95="Plano Semanal",Configuracoes!$B$6,""))))</x:f>
      </x:c>
      <x:c r="H95" s="92" t="str">
        <x:f t="shared" si="11"/>
      </x:c>
      <x:c r="I95" s="64"/>
      <x:c r="J95" s="94" t="n">
        <x:f>IF(I95="PIX",Configuracoes!$E$4,0)</x:f>
        <x:v>0</x:v>
      </x:c>
      <x:c r="K95" s="92" t="str">
        <x:f t="shared" si="12"/>
      </x:c>
      <x:c r="L95" s="92" t="str">
        <x:f t="shared" si="13"/>
      </x:c>
      <x:c r="M95" s="70"/>
      <x:c r="N95" s="72"/>
      <x:c r="O95" s="64"/>
      <x:c r="P95" s="96" t="str">
        <x:f>IF(A95="","",COUNTIFS(Atendimentos!$B$4:$B$403,A95,Atendimentos!$H$4:$H$403,"Realizado"))</x:f>
      </x:c>
      <x:c r="Q95" s="96" t="str">
        <x:f t="shared" si="14"/>
      </x:c>
    </x:row>
    <x:row r="96" ht="20" customHeight="1">
      <x:c r="A96" s="96" t="str">
        <x:f t="shared" si="10"/>
      </x:c>
      <x:c r="B96" s="64"/>
      <x:c r="C96" s="96" t="str">
        <x:f>IF(B96="","",IFERROR(INDEX(Pacientes!$A$4:$A$203,MATCH(B96,Pacientes!$B$4:$B$203,0)),""))</x:f>
      </x:c>
      <x:c r="D96" s="72"/>
      <x:c r="E96" s="64"/>
      <x:c r="F96" s="70"/>
      <x:c r="G96" s="92" t="str">
        <x:f>IF(E96="","",IF(E96="Consulta Avulsa",Configuracoes!$B$4,IF(E96="Plano Quinzenal",Configuracoes!$B$5,IF(E96="Plano Semanal",Configuracoes!$B$6,""))))</x:f>
      </x:c>
      <x:c r="H96" s="92" t="str">
        <x:f t="shared" si="11"/>
      </x:c>
      <x:c r="I96" s="64"/>
      <x:c r="J96" s="94" t="n">
        <x:f>IF(I96="PIX",Configuracoes!$E$4,0)</x:f>
        <x:v>0</x:v>
      </x:c>
      <x:c r="K96" s="92" t="str">
        <x:f t="shared" si="12"/>
      </x:c>
      <x:c r="L96" s="92" t="str">
        <x:f t="shared" si="13"/>
      </x:c>
      <x:c r="M96" s="70"/>
      <x:c r="N96" s="72"/>
      <x:c r="O96" s="64"/>
      <x:c r="P96" s="96" t="str">
        <x:f>IF(A96="","",COUNTIFS(Atendimentos!$B$4:$B$403,A96,Atendimentos!$H$4:$H$403,"Realizado"))</x:f>
      </x:c>
      <x:c r="Q96" s="96" t="str">
        <x:f t="shared" si="14"/>
      </x:c>
    </x:row>
    <x:row r="97" ht="20" customHeight="1">
      <x:c r="A97" s="96" t="str">
        <x:f t="shared" si="10"/>
      </x:c>
      <x:c r="B97" s="64"/>
      <x:c r="C97" s="96" t="str">
        <x:f>IF(B97="","",IFERROR(INDEX(Pacientes!$A$4:$A$203,MATCH(B97,Pacientes!$B$4:$B$203,0)),""))</x:f>
      </x:c>
      <x:c r="D97" s="72"/>
      <x:c r="E97" s="64"/>
      <x:c r="F97" s="70"/>
      <x:c r="G97" s="92" t="str">
        <x:f>IF(E97="","",IF(E97="Consulta Avulsa",Configuracoes!$B$4,IF(E97="Plano Quinzenal",Configuracoes!$B$5,IF(E97="Plano Semanal",Configuracoes!$B$6,""))))</x:f>
      </x:c>
      <x:c r="H97" s="92" t="str">
        <x:f t="shared" si="11"/>
      </x:c>
      <x:c r="I97" s="64"/>
      <x:c r="J97" s="94" t="n">
        <x:f>IF(I97="PIX",Configuracoes!$E$4,0)</x:f>
        <x:v>0</x:v>
      </x:c>
      <x:c r="K97" s="92" t="str">
        <x:f t="shared" si="12"/>
      </x:c>
      <x:c r="L97" s="92" t="str">
        <x:f t="shared" si="13"/>
      </x:c>
      <x:c r="M97" s="70"/>
      <x:c r="N97" s="72"/>
      <x:c r="O97" s="64"/>
      <x:c r="P97" s="96" t="str">
        <x:f>IF(A97="","",COUNTIFS(Atendimentos!$B$4:$B$403,A97,Atendimentos!$H$4:$H$403,"Realizado"))</x:f>
      </x:c>
      <x:c r="Q97" s="96" t="str">
        <x:f t="shared" si="14"/>
      </x:c>
    </x:row>
    <x:row r="98" ht="20" customHeight="1">
      <x:c r="A98" s="96" t="str">
        <x:f t="shared" si="10"/>
      </x:c>
      <x:c r="B98" s="64"/>
      <x:c r="C98" s="96" t="str">
        <x:f>IF(B98="","",IFERROR(INDEX(Pacientes!$A$4:$A$203,MATCH(B98,Pacientes!$B$4:$B$203,0)),""))</x:f>
      </x:c>
      <x:c r="D98" s="72"/>
      <x:c r="E98" s="64"/>
      <x:c r="F98" s="70"/>
      <x:c r="G98" s="92" t="str">
        <x:f>IF(E98="","",IF(E98="Consulta Avulsa",Configuracoes!$B$4,IF(E98="Plano Quinzenal",Configuracoes!$B$5,IF(E98="Plano Semanal",Configuracoes!$B$6,""))))</x:f>
      </x:c>
      <x:c r="H98" s="92" t="str">
        <x:f t="shared" si="11"/>
      </x:c>
      <x:c r="I98" s="64"/>
      <x:c r="J98" s="94" t="n">
        <x:f>IF(I98="PIX",Configuracoes!$E$4,0)</x:f>
        <x:v>0</x:v>
      </x:c>
      <x:c r="K98" s="92" t="str">
        <x:f t="shared" si="12"/>
      </x:c>
      <x:c r="L98" s="92" t="str">
        <x:f t="shared" si="13"/>
      </x:c>
      <x:c r="M98" s="70"/>
      <x:c r="N98" s="72"/>
      <x:c r="O98" s="64"/>
      <x:c r="P98" s="96" t="str">
        <x:f>IF(A98="","",COUNTIFS(Atendimentos!$B$4:$B$403,A98,Atendimentos!$H$4:$H$403,"Realizado"))</x:f>
      </x:c>
      <x:c r="Q98" s="96" t="str">
        <x:f t="shared" si="14"/>
      </x:c>
    </x:row>
    <x:row r="99" ht="20" customHeight="1">
      <x:c r="A99" s="96" t="str">
        <x:f t="shared" si="10"/>
      </x:c>
      <x:c r="B99" s="64"/>
      <x:c r="C99" s="96" t="str">
        <x:f>IF(B99="","",IFERROR(INDEX(Pacientes!$A$4:$A$203,MATCH(B99,Pacientes!$B$4:$B$203,0)),""))</x:f>
      </x:c>
      <x:c r="D99" s="72"/>
      <x:c r="E99" s="64"/>
      <x:c r="F99" s="70"/>
      <x:c r="G99" s="92" t="str">
        <x:f>IF(E99="","",IF(E99="Consulta Avulsa",Configuracoes!$B$4,IF(E99="Plano Quinzenal",Configuracoes!$B$5,IF(E99="Plano Semanal",Configuracoes!$B$6,""))))</x:f>
      </x:c>
      <x:c r="H99" s="92" t="str">
        <x:f t="shared" si="11"/>
      </x:c>
      <x:c r="I99" s="64"/>
      <x:c r="J99" s="94" t="n">
        <x:f>IF(I99="PIX",Configuracoes!$E$4,0)</x:f>
        <x:v>0</x:v>
      </x:c>
      <x:c r="K99" s="92" t="str">
        <x:f t="shared" si="12"/>
      </x:c>
      <x:c r="L99" s="92" t="str">
        <x:f t="shared" si="13"/>
      </x:c>
      <x:c r="M99" s="70"/>
      <x:c r="N99" s="72"/>
      <x:c r="O99" s="64"/>
      <x:c r="P99" s="96" t="str">
        <x:f>IF(A99="","",COUNTIFS(Atendimentos!$B$4:$B$403,A99,Atendimentos!$H$4:$H$403,"Realizado"))</x:f>
      </x:c>
      <x:c r="Q99" s="96" t="str">
        <x:f t="shared" si="14"/>
      </x:c>
    </x:row>
    <x:row r="100" ht="20" customHeight="1">
      <x:c r="A100" s="96" t="str">
        <x:f t="shared" ref="A100:A131" si="15">IF(B100="","",ROW()-3)</x:f>
      </x:c>
      <x:c r="B100" s="64"/>
      <x:c r="C100" s="96" t="str">
        <x:f>IF(B100="","",IFERROR(INDEX(Pacientes!$A$4:$A$203,MATCH(B100,Pacientes!$B$4:$B$203,0)),""))</x:f>
      </x:c>
      <x:c r="D100" s="72"/>
      <x:c r="E100" s="64"/>
      <x:c r="F100" s="70"/>
      <x:c r="G100" s="92" t="str">
        <x:f>IF(E100="","",IF(E100="Consulta Avulsa",Configuracoes!$B$4,IF(E100="Plano Quinzenal",Configuracoes!$B$5,IF(E100="Plano Semanal",Configuracoes!$B$6,""))))</x:f>
      </x:c>
      <x:c r="H100" s="92" t="str">
        <x:f t="shared" ref="H100:H131" si="16">IF(OR(F100="",G100=""),"",F100*G100)</x:f>
      </x:c>
      <x:c r="I100" s="64"/>
      <x:c r="J100" s="94" t="n">
        <x:f>IF(I100="PIX",Configuracoes!$E$4,0)</x:f>
        <x:v>0</x:v>
      </x:c>
      <x:c r="K100" s="92" t="str">
        <x:f t="shared" ref="K100:K131" si="17">IF(H100="","",H100*J100)</x:f>
      </x:c>
      <x:c r="L100" s="92" t="str">
        <x:f t="shared" ref="L100:L131" si="18">IF(H100="","",H100-K100)</x:f>
      </x:c>
      <x:c r="M100" s="70"/>
      <x:c r="N100" s="72"/>
      <x:c r="O100" s="64"/>
      <x:c r="P100" s="96" t="str">
        <x:f>IF(A100="","",COUNTIFS(Atendimentos!$B$4:$B$403,A100,Atendimentos!$H$4:$H$403,"Realizado"))</x:f>
      </x:c>
      <x:c r="Q100" s="96" t="str">
        <x:f t="shared" ref="Q100:Q131" si="19">IF(F100="","",MAX(F100-P100,0))</x:f>
      </x:c>
    </x:row>
    <x:row r="101" ht="20" customHeight="1">
      <x:c r="A101" s="96" t="str">
        <x:f t="shared" si="15"/>
      </x:c>
      <x:c r="B101" s="64"/>
      <x:c r="C101" s="96" t="str">
        <x:f>IF(B101="","",IFERROR(INDEX(Pacientes!$A$4:$A$203,MATCH(B101,Pacientes!$B$4:$B$203,0)),""))</x:f>
      </x:c>
      <x:c r="D101" s="72"/>
      <x:c r="E101" s="64"/>
      <x:c r="F101" s="70"/>
      <x:c r="G101" s="92" t="str">
        <x:f>IF(E101="","",IF(E101="Consulta Avulsa",Configuracoes!$B$4,IF(E101="Plano Quinzenal",Configuracoes!$B$5,IF(E101="Plano Semanal",Configuracoes!$B$6,""))))</x:f>
      </x:c>
      <x:c r="H101" s="92" t="str">
        <x:f t="shared" si="16"/>
      </x:c>
      <x:c r="I101" s="64"/>
      <x:c r="J101" s="94" t="n">
        <x:f>IF(I101="PIX",Configuracoes!$E$4,0)</x:f>
        <x:v>0</x:v>
      </x:c>
      <x:c r="K101" s="92" t="str">
        <x:f t="shared" si="17"/>
      </x:c>
      <x:c r="L101" s="92" t="str">
        <x:f t="shared" si="18"/>
      </x:c>
      <x:c r="M101" s="70"/>
      <x:c r="N101" s="72"/>
      <x:c r="O101" s="64"/>
      <x:c r="P101" s="96" t="str">
        <x:f>IF(A101="","",COUNTIFS(Atendimentos!$B$4:$B$403,A101,Atendimentos!$H$4:$H$403,"Realizado"))</x:f>
      </x:c>
      <x:c r="Q101" s="96" t="str">
        <x:f t="shared" si="19"/>
      </x:c>
    </x:row>
    <x:row r="102" ht="20" customHeight="1">
      <x:c r="A102" s="96" t="str">
        <x:f t="shared" si="15"/>
      </x:c>
      <x:c r="B102" s="64"/>
      <x:c r="C102" s="96" t="str">
        <x:f>IF(B102="","",IFERROR(INDEX(Pacientes!$A$4:$A$203,MATCH(B102,Pacientes!$B$4:$B$203,0)),""))</x:f>
      </x:c>
      <x:c r="D102" s="72"/>
      <x:c r="E102" s="64"/>
      <x:c r="F102" s="70"/>
      <x:c r="G102" s="92" t="str">
        <x:f>IF(E102="","",IF(E102="Consulta Avulsa",Configuracoes!$B$4,IF(E102="Plano Quinzenal",Configuracoes!$B$5,IF(E102="Plano Semanal",Configuracoes!$B$6,""))))</x:f>
      </x:c>
      <x:c r="H102" s="92" t="str">
        <x:f t="shared" si="16"/>
      </x:c>
      <x:c r="I102" s="64"/>
      <x:c r="J102" s="94" t="n">
        <x:f>IF(I102="PIX",Configuracoes!$E$4,0)</x:f>
        <x:v>0</x:v>
      </x:c>
      <x:c r="K102" s="92" t="str">
        <x:f t="shared" si="17"/>
      </x:c>
      <x:c r="L102" s="92" t="str">
        <x:f t="shared" si="18"/>
      </x:c>
      <x:c r="M102" s="70"/>
      <x:c r="N102" s="72"/>
      <x:c r="O102" s="64"/>
      <x:c r="P102" s="96" t="str">
        <x:f>IF(A102="","",COUNTIFS(Atendimentos!$B$4:$B$403,A102,Atendimentos!$H$4:$H$403,"Realizado"))</x:f>
      </x:c>
      <x:c r="Q102" s="96" t="str">
        <x:f t="shared" si="19"/>
      </x:c>
    </x:row>
    <x:row r="103" ht="20" customHeight="1">
      <x:c r="A103" s="96" t="str">
        <x:f t="shared" si="15"/>
      </x:c>
      <x:c r="B103" s="64"/>
      <x:c r="C103" s="96" t="str">
        <x:f>IF(B103="","",IFERROR(INDEX(Pacientes!$A$4:$A$203,MATCH(B103,Pacientes!$B$4:$B$203,0)),""))</x:f>
      </x:c>
      <x:c r="D103" s="72"/>
      <x:c r="E103" s="64"/>
      <x:c r="F103" s="70"/>
      <x:c r="G103" s="92" t="str">
        <x:f>IF(E103="","",IF(E103="Consulta Avulsa",Configuracoes!$B$4,IF(E103="Plano Quinzenal",Configuracoes!$B$5,IF(E103="Plano Semanal",Configuracoes!$B$6,""))))</x:f>
      </x:c>
      <x:c r="H103" s="92" t="str">
        <x:f t="shared" si="16"/>
      </x:c>
      <x:c r="I103" s="64"/>
      <x:c r="J103" s="94" t="n">
        <x:f>IF(I103="PIX",Configuracoes!$E$4,0)</x:f>
        <x:v>0</x:v>
      </x:c>
      <x:c r="K103" s="92" t="str">
        <x:f t="shared" si="17"/>
      </x:c>
      <x:c r="L103" s="92" t="str">
        <x:f t="shared" si="18"/>
      </x:c>
      <x:c r="M103" s="70"/>
      <x:c r="N103" s="72"/>
      <x:c r="O103" s="64"/>
      <x:c r="P103" s="96" t="str">
        <x:f>IF(A103="","",COUNTIFS(Atendimentos!$B$4:$B$403,A103,Atendimentos!$H$4:$H$403,"Realizado"))</x:f>
      </x:c>
      <x:c r="Q103" s="96" t="str">
        <x:f t="shared" si="19"/>
      </x:c>
    </x:row>
    <x:row r="104" ht="20" customHeight="1">
      <x:c r="A104" s="96" t="str">
        <x:f t="shared" si="15"/>
      </x:c>
      <x:c r="B104" s="64"/>
      <x:c r="C104" s="96" t="str">
        <x:f>IF(B104="","",IFERROR(INDEX(Pacientes!$A$4:$A$203,MATCH(B104,Pacientes!$B$4:$B$203,0)),""))</x:f>
      </x:c>
      <x:c r="D104" s="72"/>
      <x:c r="E104" s="64"/>
      <x:c r="F104" s="70"/>
      <x:c r="G104" s="92" t="str">
        <x:f>IF(E104="","",IF(E104="Consulta Avulsa",Configuracoes!$B$4,IF(E104="Plano Quinzenal",Configuracoes!$B$5,IF(E104="Plano Semanal",Configuracoes!$B$6,""))))</x:f>
      </x:c>
      <x:c r="H104" s="92" t="str">
        <x:f t="shared" si="16"/>
      </x:c>
      <x:c r="I104" s="64"/>
      <x:c r="J104" s="94" t="n">
        <x:f>IF(I104="PIX",Configuracoes!$E$4,0)</x:f>
        <x:v>0</x:v>
      </x:c>
      <x:c r="K104" s="92" t="str">
        <x:f t="shared" si="17"/>
      </x:c>
      <x:c r="L104" s="92" t="str">
        <x:f t="shared" si="18"/>
      </x:c>
      <x:c r="M104" s="70"/>
      <x:c r="N104" s="72"/>
      <x:c r="O104" s="64"/>
      <x:c r="P104" s="96" t="str">
        <x:f>IF(A104="","",COUNTIFS(Atendimentos!$B$4:$B$403,A104,Atendimentos!$H$4:$H$403,"Realizado"))</x:f>
      </x:c>
      <x:c r="Q104" s="96" t="str">
        <x:f t="shared" si="19"/>
      </x:c>
    </x:row>
    <x:row r="105" ht="20" customHeight="1">
      <x:c r="A105" s="96" t="str">
        <x:f t="shared" si="15"/>
      </x:c>
      <x:c r="B105" s="64"/>
      <x:c r="C105" s="96" t="str">
        <x:f>IF(B105="","",IFERROR(INDEX(Pacientes!$A$4:$A$203,MATCH(B105,Pacientes!$B$4:$B$203,0)),""))</x:f>
      </x:c>
      <x:c r="D105" s="72"/>
      <x:c r="E105" s="64"/>
      <x:c r="F105" s="70"/>
      <x:c r="G105" s="92" t="str">
        <x:f>IF(E105="","",IF(E105="Consulta Avulsa",Configuracoes!$B$4,IF(E105="Plano Quinzenal",Configuracoes!$B$5,IF(E105="Plano Semanal",Configuracoes!$B$6,""))))</x:f>
      </x:c>
      <x:c r="H105" s="92" t="str">
        <x:f t="shared" si="16"/>
      </x:c>
      <x:c r="I105" s="64"/>
      <x:c r="J105" s="94" t="n">
        <x:f>IF(I105="PIX",Configuracoes!$E$4,0)</x:f>
        <x:v>0</x:v>
      </x:c>
      <x:c r="K105" s="92" t="str">
        <x:f t="shared" si="17"/>
      </x:c>
      <x:c r="L105" s="92" t="str">
        <x:f t="shared" si="18"/>
      </x:c>
      <x:c r="M105" s="70"/>
      <x:c r="N105" s="72"/>
      <x:c r="O105" s="64"/>
      <x:c r="P105" s="96" t="str">
        <x:f>IF(A105="","",COUNTIFS(Atendimentos!$B$4:$B$403,A105,Atendimentos!$H$4:$H$403,"Realizado"))</x:f>
      </x:c>
      <x:c r="Q105" s="96" t="str">
        <x:f t="shared" si="19"/>
      </x:c>
    </x:row>
    <x:row r="106" ht="20" customHeight="1">
      <x:c r="A106" s="96" t="str">
        <x:f t="shared" si="15"/>
      </x:c>
      <x:c r="B106" s="64"/>
      <x:c r="C106" s="96" t="str">
        <x:f>IF(B106="","",IFERROR(INDEX(Pacientes!$A$4:$A$203,MATCH(B106,Pacientes!$B$4:$B$203,0)),""))</x:f>
      </x:c>
      <x:c r="D106" s="72"/>
      <x:c r="E106" s="64"/>
      <x:c r="F106" s="70"/>
      <x:c r="G106" s="92" t="str">
        <x:f>IF(E106="","",IF(E106="Consulta Avulsa",Configuracoes!$B$4,IF(E106="Plano Quinzenal",Configuracoes!$B$5,IF(E106="Plano Semanal",Configuracoes!$B$6,""))))</x:f>
      </x:c>
      <x:c r="H106" s="92" t="str">
        <x:f t="shared" si="16"/>
      </x:c>
      <x:c r="I106" s="64"/>
      <x:c r="J106" s="94" t="n">
        <x:f>IF(I106="PIX",Configuracoes!$E$4,0)</x:f>
        <x:v>0</x:v>
      </x:c>
      <x:c r="K106" s="92" t="str">
        <x:f t="shared" si="17"/>
      </x:c>
      <x:c r="L106" s="92" t="str">
        <x:f t="shared" si="18"/>
      </x:c>
      <x:c r="M106" s="70"/>
      <x:c r="N106" s="72"/>
      <x:c r="O106" s="64"/>
      <x:c r="P106" s="96" t="str">
        <x:f>IF(A106="","",COUNTIFS(Atendimentos!$B$4:$B$403,A106,Atendimentos!$H$4:$H$403,"Realizado"))</x:f>
      </x:c>
      <x:c r="Q106" s="96" t="str">
        <x:f t="shared" si="19"/>
      </x:c>
    </x:row>
    <x:row r="107" ht="20" customHeight="1">
      <x:c r="A107" s="96" t="str">
        <x:f t="shared" si="15"/>
      </x:c>
      <x:c r="B107" s="64"/>
      <x:c r="C107" s="96" t="str">
        <x:f>IF(B107="","",IFERROR(INDEX(Pacientes!$A$4:$A$203,MATCH(B107,Pacientes!$B$4:$B$203,0)),""))</x:f>
      </x:c>
      <x:c r="D107" s="72"/>
      <x:c r="E107" s="64"/>
      <x:c r="F107" s="70"/>
      <x:c r="G107" s="92" t="str">
        <x:f>IF(E107="","",IF(E107="Consulta Avulsa",Configuracoes!$B$4,IF(E107="Plano Quinzenal",Configuracoes!$B$5,IF(E107="Plano Semanal",Configuracoes!$B$6,""))))</x:f>
      </x:c>
      <x:c r="H107" s="92" t="str">
        <x:f t="shared" si="16"/>
      </x:c>
      <x:c r="I107" s="64"/>
      <x:c r="J107" s="94" t="n">
        <x:f>IF(I107="PIX",Configuracoes!$E$4,0)</x:f>
        <x:v>0</x:v>
      </x:c>
      <x:c r="K107" s="92" t="str">
        <x:f t="shared" si="17"/>
      </x:c>
      <x:c r="L107" s="92" t="str">
        <x:f t="shared" si="18"/>
      </x:c>
      <x:c r="M107" s="70"/>
      <x:c r="N107" s="72"/>
      <x:c r="O107" s="64"/>
      <x:c r="P107" s="96" t="str">
        <x:f>IF(A107="","",COUNTIFS(Atendimentos!$B$4:$B$403,A107,Atendimentos!$H$4:$H$403,"Realizado"))</x:f>
      </x:c>
      <x:c r="Q107" s="96" t="str">
        <x:f t="shared" si="19"/>
      </x:c>
    </x:row>
    <x:row r="108" ht="20" customHeight="1">
      <x:c r="A108" s="96" t="str">
        <x:f t="shared" si="15"/>
      </x:c>
      <x:c r="B108" s="64"/>
      <x:c r="C108" s="96" t="str">
        <x:f>IF(B108="","",IFERROR(INDEX(Pacientes!$A$4:$A$203,MATCH(B108,Pacientes!$B$4:$B$203,0)),""))</x:f>
      </x:c>
      <x:c r="D108" s="72"/>
      <x:c r="E108" s="64"/>
      <x:c r="F108" s="70"/>
      <x:c r="G108" s="92" t="str">
        <x:f>IF(E108="","",IF(E108="Consulta Avulsa",Configuracoes!$B$4,IF(E108="Plano Quinzenal",Configuracoes!$B$5,IF(E108="Plano Semanal",Configuracoes!$B$6,""))))</x:f>
      </x:c>
      <x:c r="H108" s="92" t="str">
        <x:f t="shared" si="16"/>
      </x:c>
      <x:c r="I108" s="64"/>
      <x:c r="J108" s="94" t="n">
        <x:f>IF(I108="PIX",Configuracoes!$E$4,0)</x:f>
        <x:v>0</x:v>
      </x:c>
      <x:c r="K108" s="92" t="str">
        <x:f t="shared" si="17"/>
      </x:c>
      <x:c r="L108" s="92" t="str">
        <x:f t="shared" si="18"/>
      </x:c>
      <x:c r="M108" s="70"/>
      <x:c r="N108" s="72"/>
      <x:c r="O108" s="64"/>
      <x:c r="P108" s="96" t="str">
        <x:f>IF(A108="","",COUNTIFS(Atendimentos!$B$4:$B$403,A108,Atendimentos!$H$4:$H$403,"Realizado"))</x:f>
      </x:c>
      <x:c r="Q108" s="96" t="str">
        <x:f t="shared" si="19"/>
      </x:c>
    </x:row>
    <x:row r="109" ht="20" customHeight="1">
      <x:c r="A109" s="96" t="str">
        <x:f t="shared" si="15"/>
      </x:c>
      <x:c r="B109" s="64"/>
      <x:c r="C109" s="96" t="str">
        <x:f>IF(B109="","",IFERROR(INDEX(Pacientes!$A$4:$A$203,MATCH(B109,Pacientes!$B$4:$B$203,0)),""))</x:f>
      </x:c>
      <x:c r="D109" s="72"/>
      <x:c r="E109" s="64"/>
      <x:c r="F109" s="70"/>
      <x:c r="G109" s="92" t="str">
        <x:f>IF(E109="","",IF(E109="Consulta Avulsa",Configuracoes!$B$4,IF(E109="Plano Quinzenal",Configuracoes!$B$5,IF(E109="Plano Semanal",Configuracoes!$B$6,""))))</x:f>
      </x:c>
      <x:c r="H109" s="92" t="str">
        <x:f t="shared" si="16"/>
      </x:c>
      <x:c r="I109" s="64"/>
      <x:c r="J109" s="94" t="n">
        <x:f>IF(I109="PIX",Configuracoes!$E$4,0)</x:f>
        <x:v>0</x:v>
      </x:c>
      <x:c r="K109" s="92" t="str">
        <x:f t="shared" si="17"/>
      </x:c>
      <x:c r="L109" s="92" t="str">
        <x:f t="shared" si="18"/>
      </x:c>
      <x:c r="M109" s="70"/>
      <x:c r="N109" s="72"/>
      <x:c r="O109" s="64"/>
      <x:c r="P109" s="96" t="str">
        <x:f>IF(A109="","",COUNTIFS(Atendimentos!$B$4:$B$403,A109,Atendimentos!$H$4:$H$403,"Realizado"))</x:f>
      </x:c>
      <x:c r="Q109" s="96" t="str">
        <x:f t="shared" si="19"/>
      </x:c>
    </x:row>
    <x:row r="110" ht="20" customHeight="1">
      <x:c r="A110" s="96" t="str">
        <x:f t="shared" si="15"/>
      </x:c>
      <x:c r="B110" s="64"/>
      <x:c r="C110" s="96" t="str">
        <x:f>IF(B110="","",IFERROR(INDEX(Pacientes!$A$4:$A$203,MATCH(B110,Pacientes!$B$4:$B$203,0)),""))</x:f>
      </x:c>
      <x:c r="D110" s="72"/>
      <x:c r="E110" s="64"/>
      <x:c r="F110" s="70"/>
      <x:c r="G110" s="92" t="str">
        <x:f>IF(E110="","",IF(E110="Consulta Avulsa",Configuracoes!$B$4,IF(E110="Plano Quinzenal",Configuracoes!$B$5,IF(E110="Plano Semanal",Configuracoes!$B$6,""))))</x:f>
      </x:c>
      <x:c r="H110" s="92" t="str">
        <x:f t="shared" si="16"/>
      </x:c>
      <x:c r="I110" s="64"/>
      <x:c r="J110" s="94" t="n">
        <x:f>IF(I110="PIX",Configuracoes!$E$4,0)</x:f>
        <x:v>0</x:v>
      </x:c>
      <x:c r="K110" s="92" t="str">
        <x:f t="shared" si="17"/>
      </x:c>
      <x:c r="L110" s="92" t="str">
        <x:f t="shared" si="18"/>
      </x:c>
      <x:c r="M110" s="70"/>
      <x:c r="N110" s="72"/>
      <x:c r="O110" s="64"/>
      <x:c r="P110" s="96" t="str">
        <x:f>IF(A110="","",COUNTIFS(Atendimentos!$B$4:$B$403,A110,Atendimentos!$H$4:$H$403,"Realizado"))</x:f>
      </x:c>
      <x:c r="Q110" s="96" t="str">
        <x:f t="shared" si="19"/>
      </x:c>
    </x:row>
    <x:row r="111" ht="20" customHeight="1">
      <x:c r="A111" s="96" t="str">
        <x:f t="shared" si="15"/>
      </x:c>
      <x:c r="B111" s="64"/>
      <x:c r="C111" s="96" t="str">
        <x:f>IF(B111="","",IFERROR(INDEX(Pacientes!$A$4:$A$203,MATCH(B111,Pacientes!$B$4:$B$203,0)),""))</x:f>
      </x:c>
      <x:c r="D111" s="72"/>
      <x:c r="E111" s="64"/>
      <x:c r="F111" s="70"/>
      <x:c r="G111" s="92" t="str">
        <x:f>IF(E111="","",IF(E111="Consulta Avulsa",Configuracoes!$B$4,IF(E111="Plano Quinzenal",Configuracoes!$B$5,IF(E111="Plano Semanal",Configuracoes!$B$6,""))))</x:f>
      </x:c>
      <x:c r="H111" s="92" t="str">
        <x:f t="shared" si="16"/>
      </x:c>
      <x:c r="I111" s="64"/>
      <x:c r="J111" s="94" t="n">
        <x:f>IF(I111="PIX",Configuracoes!$E$4,0)</x:f>
        <x:v>0</x:v>
      </x:c>
      <x:c r="K111" s="92" t="str">
        <x:f t="shared" si="17"/>
      </x:c>
      <x:c r="L111" s="92" t="str">
        <x:f t="shared" si="18"/>
      </x:c>
      <x:c r="M111" s="70"/>
      <x:c r="N111" s="72"/>
      <x:c r="O111" s="64"/>
      <x:c r="P111" s="96" t="str">
        <x:f>IF(A111="","",COUNTIFS(Atendimentos!$B$4:$B$403,A111,Atendimentos!$H$4:$H$403,"Realizado"))</x:f>
      </x:c>
      <x:c r="Q111" s="96" t="str">
        <x:f t="shared" si="19"/>
      </x:c>
    </x:row>
    <x:row r="112" ht="20" customHeight="1">
      <x:c r="A112" s="96" t="str">
        <x:f t="shared" si="15"/>
      </x:c>
      <x:c r="B112" s="64"/>
      <x:c r="C112" s="96" t="str">
        <x:f>IF(B112="","",IFERROR(INDEX(Pacientes!$A$4:$A$203,MATCH(B112,Pacientes!$B$4:$B$203,0)),""))</x:f>
      </x:c>
      <x:c r="D112" s="72"/>
      <x:c r="E112" s="64"/>
      <x:c r="F112" s="70"/>
      <x:c r="G112" s="92" t="str">
        <x:f>IF(E112="","",IF(E112="Consulta Avulsa",Configuracoes!$B$4,IF(E112="Plano Quinzenal",Configuracoes!$B$5,IF(E112="Plano Semanal",Configuracoes!$B$6,""))))</x:f>
      </x:c>
      <x:c r="H112" s="92" t="str">
        <x:f t="shared" si="16"/>
      </x:c>
      <x:c r="I112" s="64"/>
      <x:c r="J112" s="94" t="n">
        <x:f>IF(I112="PIX",Configuracoes!$E$4,0)</x:f>
        <x:v>0</x:v>
      </x:c>
      <x:c r="K112" s="92" t="str">
        <x:f t="shared" si="17"/>
      </x:c>
      <x:c r="L112" s="92" t="str">
        <x:f t="shared" si="18"/>
      </x:c>
      <x:c r="M112" s="70"/>
      <x:c r="N112" s="72"/>
      <x:c r="O112" s="64"/>
      <x:c r="P112" s="96" t="str">
        <x:f>IF(A112="","",COUNTIFS(Atendimentos!$B$4:$B$403,A112,Atendimentos!$H$4:$H$403,"Realizado"))</x:f>
      </x:c>
      <x:c r="Q112" s="96" t="str">
        <x:f t="shared" si="19"/>
      </x:c>
    </x:row>
    <x:row r="113" ht="20" customHeight="1">
      <x:c r="A113" s="96" t="str">
        <x:f t="shared" si="15"/>
      </x:c>
      <x:c r="B113" s="64"/>
      <x:c r="C113" s="96" t="str">
        <x:f>IF(B113="","",IFERROR(INDEX(Pacientes!$A$4:$A$203,MATCH(B113,Pacientes!$B$4:$B$203,0)),""))</x:f>
      </x:c>
      <x:c r="D113" s="72"/>
      <x:c r="E113" s="64"/>
      <x:c r="F113" s="70"/>
      <x:c r="G113" s="92" t="str">
        <x:f>IF(E113="","",IF(E113="Consulta Avulsa",Configuracoes!$B$4,IF(E113="Plano Quinzenal",Configuracoes!$B$5,IF(E113="Plano Semanal",Configuracoes!$B$6,""))))</x:f>
      </x:c>
      <x:c r="H113" s="92" t="str">
        <x:f t="shared" si="16"/>
      </x:c>
      <x:c r="I113" s="64"/>
      <x:c r="J113" s="94" t="n">
        <x:f>IF(I113="PIX",Configuracoes!$E$4,0)</x:f>
        <x:v>0</x:v>
      </x:c>
      <x:c r="K113" s="92" t="str">
        <x:f t="shared" si="17"/>
      </x:c>
      <x:c r="L113" s="92" t="str">
        <x:f t="shared" si="18"/>
      </x:c>
      <x:c r="M113" s="70"/>
      <x:c r="N113" s="72"/>
      <x:c r="O113" s="64"/>
      <x:c r="P113" s="96" t="str">
        <x:f>IF(A113="","",COUNTIFS(Atendimentos!$B$4:$B$403,A113,Atendimentos!$H$4:$H$403,"Realizado"))</x:f>
      </x:c>
      <x:c r="Q113" s="96" t="str">
        <x:f t="shared" si="19"/>
      </x:c>
    </x:row>
    <x:row r="114" ht="20" customHeight="1">
      <x:c r="A114" s="96" t="str">
        <x:f t="shared" si="15"/>
      </x:c>
      <x:c r="B114" s="64"/>
      <x:c r="C114" s="96" t="str">
        <x:f>IF(B114="","",IFERROR(INDEX(Pacientes!$A$4:$A$203,MATCH(B114,Pacientes!$B$4:$B$203,0)),""))</x:f>
      </x:c>
      <x:c r="D114" s="72"/>
      <x:c r="E114" s="64"/>
      <x:c r="F114" s="70"/>
      <x:c r="G114" s="92" t="str">
        <x:f>IF(E114="","",IF(E114="Consulta Avulsa",Configuracoes!$B$4,IF(E114="Plano Quinzenal",Configuracoes!$B$5,IF(E114="Plano Semanal",Configuracoes!$B$6,""))))</x:f>
      </x:c>
      <x:c r="H114" s="92" t="str">
        <x:f t="shared" si="16"/>
      </x:c>
      <x:c r="I114" s="64"/>
      <x:c r="J114" s="94" t="n">
        <x:f>IF(I114="PIX",Configuracoes!$E$4,0)</x:f>
        <x:v>0</x:v>
      </x:c>
      <x:c r="K114" s="92" t="str">
        <x:f t="shared" si="17"/>
      </x:c>
      <x:c r="L114" s="92" t="str">
        <x:f t="shared" si="18"/>
      </x:c>
      <x:c r="M114" s="70"/>
      <x:c r="N114" s="72"/>
      <x:c r="O114" s="64"/>
      <x:c r="P114" s="96" t="str">
        <x:f>IF(A114="","",COUNTIFS(Atendimentos!$B$4:$B$403,A114,Atendimentos!$H$4:$H$403,"Realizado"))</x:f>
      </x:c>
      <x:c r="Q114" s="96" t="str">
        <x:f t="shared" si="19"/>
      </x:c>
    </x:row>
    <x:row r="115" ht="20" customHeight="1">
      <x:c r="A115" s="96" t="str">
        <x:f t="shared" si="15"/>
      </x:c>
      <x:c r="B115" s="64"/>
      <x:c r="C115" s="96" t="str">
        <x:f>IF(B115="","",IFERROR(INDEX(Pacientes!$A$4:$A$203,MATCH(B115,Pacientes!$B$4:$B$203,0)),""))</x:f>
      </x:c>
      <x:c r="D115" s="72"/>
      <x:c r="E115" s="64"/>
      <x:c r="F115" s="70"/>
      <x:c r="G115" s="92" t="str">
        <x:f>IF(E115="","",IF(E115="Consulta Avulsa",Configuracoes!$B$4,IF(E115="Plano Quinzenal",Configuracoes!$B$5,IF(E115="Plano Semanal",Configuracoes!$B$6,""))))</x:f>
      </x:c>
      <x:c r="H115" s="92" t="str">
        <x:f t="shared" si="16"/>
      </x:c>
      <x:c r="I115" s="64"/>
      <x:c r="J115" s="94" t="n">
        <x:f>IF(I115="PIX",Configuracoes!$E$4,0)</x:f>
        <x:v>0</x:v>
      </x:c>
      <x:c r="K115" s="92" t="str">
        <x:f t="shared" si="17"/>
      </x:c>
      <x:c r="L115" s="92" t="str">
        <x:f t="shared" si="18"/>
      </x:c>
      <x:c r="M115" s="70"/>
      <x:c r="N115" s="72"/>
      <x:c r="O115" s="64"/>
      <x:c r="P115" s="96" t="str">
        <x:f>IF(A115="","",COUNTIFS(Atendimentos!$B$4:$B$403,A115,Atendimentos!$H$4:$H$403,"Realizado"))</x:f>
      </x:c>
      <x:c r="Q115" s="96" t="str">
        <x:f t="shared" si="19"/>
      </x:c>
    </x:row>
    <x:row r="116" ht="20" customHeight="1">
      <x:c r="A116" s="96" t="str">
        <x:f t="shared" si="15"/>
      </x:c>
      <x:c r="B116" s="64"/>
      <x:c r="C116" s="96" t="str">
        <x:f>IF(B116="","",IFERROR(INDEX(Pacientes!$A$4:$A$203,MATCH(B116,Pacientes!$B$4:$B$203,0)),""))</x:f>
      </x:c>
      <x:c r="D116" s="72"/>
      <x:c r="E116" s="64"/>
      <x:c r="F116" s="70"/>
      <x:c r="G116" s="92" t="str">
        <x:f>IF(E116="","",IF(E116="Consulta Avulsa",Configuracoes!$B$4,IF(E116="Plano Quinzenal",Configuracoes!$B$5,IF(E116="Plano Semanal",Configuracoes!$B$6,""))))</x:f>
      </x:c>
      <x:c r="H116" s="92" t="str">
        <x:f t="shared" si="16"/>
      </x:c>
      <x:c r="I116" s="64"/>
      <x:c r="J116" s="94" t="n">
        <x:f>IF(I116="PIX",Configuracoes!$E$4,0)</x:f>
        <x:v>0</x:v>
      </x:c>
      <x:c r="K116" s="92" t="str">
        <x:f t="shared" si="17"/>
      </x:c>
      <x:c r="L116" s="92" t="str">
        <x:f t="shared" si="18"/>
      </x:c>
      <x:c r="M116" s="70"/>
      <x:c r="N116" s="72"/>
      <x:c r="O116" s="64"/>
      <x:c r="P116" s="96" t="str">
        <x:f>IF(A116="","",COUNTIFS(Atendimentos!$B$4:$B$403,A116,Atendimentos!$H$4:$H$403,"Realizado"))</x:f>
      </x:c>
      <x:c r="Q116" s="96" t="str">
        <x:f t="shared" si="19"/>
      </x:c>
    </x:row>
    <x:row r="117" ht="20" customHeight="1">
      <x:c r="A117" s="96" t="str">
        <x:f t="shared" si="15"/>
      </x:c>
      <x:c r="B117" s="64"/>
      <x:c r="C117" s="96" t="str">
        <x:f>IF(B117="","",IFERROR(INDEX(Pacientes!$A$4:$A$203,MATCH(B117,Pacientes!$B$4:$B$203,0)),""))</x:f>
      </x:c>
      <x:c r="D117" s="72"/>
      <x:c r="E117" s="64"/>
      <x:c r="F117" s="70"/>
      <x:c r="G117" s="92" t="str">
        <x:f>IF(E117="","",IF(E117="Consulta Avulsa",Configuracoes!$B$4,IF(E117="Plano Quinzenal",Configuracoes!$B$5,IF(E117="Plano Semanal",Configuracoes!$B$6,""))))</x:f>
      </x:c>
      <x:c r="H117" s="92" t="str">
        <x:f t="shared" si="16"/>
      </x:c>
      <x:c r="I117" s="64"/>
      <x:c r="J117" s="94" t="n">
        <x:f>IF(I117="PIX",Configuracoes!$E$4,0)</x:f>
        <x:v>0</x:v>
      </x:c>
      <x:c r="K117" s="92" t="str">
        <x:f t="shared" si="17"/>
      </x:c>
      <x:c r="L117" s="92" t="str">
        <x:f t="shared" si="18"/>
      </x:c>
      <x:c r="M117" s="70"/>
      <x:c r="N117" s="72"/>
      <x:c r="O117" s="64"/>
      <x:c r="P117" s="96" t="str">
        <x:f>IF(A117="","",COUNTIFS(Atendimentos!$B$4:$B$403,A117,Atendimentos!$H$4:$H$403,"Realizado"))</x:f>
      </x:c>
      <x:c r="Q117" s="96" t="str">
        <x:f t="shared" si="19"/>
      </x:c>
    </x:row>
    <x:row r="118" ht="20" customHeight="1">
      <x:c r="A118" s="96" t="str">
        <x:f t="shared" si="15"/>
      </x:c>
      <x:c r="B118" s="64"/>
      <x:c r="C118" s="96" t="str">
        <x:f>IF(B118="","",IFERROR(INDEX(Pacientes!$A$4:$A$203,MATCH(B118,Pacientes!$B$4:$B$203,0)),""))</x:f>
      </x:c>
      <x:c r="D118" s="72"/>
      <x:c r="E118" s="64"/>
      <x:c r="F118" s="70"/>
      <x:c r="G118" s="92" t="str">
        <x:f>IF(E118="","",IF(E118="Consulta Avulsa",Configuracoes!$B$4,IF(E118="Plano Quinzenal",Configuracoes!$B$5,IF(E118="Plano Semanal",Configuracoes!$B$6,""))))</x:f>
      </x:c>
      <x:c r="H118" s="92" t="str">
        <x:f t="shared" si="16"/>
      </x:c>
      <x:c r="I118" s="64"/>
      <x:c r="J118" s="94" t="n">
        <x:f>IF(I118="PIX",Configuracoes!$E$4,0)</x:f>
        <x:v>0</x:v>
      </x:c>
      <x:c r="K118" s="92" t="str">
        <x:f t="shared" si="17"/>
      </x:c>
      <x:c r="L118" s="92" t="str">
        <x:f t="shared" si="18"/>
      </x:c>
      <x:c r="M118" s="70"/>
      <x:c r="N118" s="72"/>
      <x:c r="O118" s="64"/>
      <x:c r="P118" s="96" t="str">
        <x:f>IF(A118="","",COUNTIFS(Atendimentos!$B$4:$B$403,A118,Atendimentos!$H$4:$H$403,"Realizado"))</x:f>
      </x:c>
      <x:c r="Q118" s="96" t="str">
        <x:f t="shared" si="19"/>
      </x:c>
    </x:row>
    <x:row r="119" ht="20" customHeight="1">
      <x:c r="A119" s="96" t="str">
        <x:f t="shared" si="15"/>
      </x:c>
      <x:c r="B119" s="64"/>
      <x:c r="C119" s="96" t="str">
        <x:f>IF(B119="","",IFERROR(INDEX(Pacientes!$A$4:$A$203,MATCH(B119,Pacientes!$B$4:$B$203,0)),""))</x:f>
      </x:c>
      <x:c r="D119" s="72"/>
      <x:c r="E119" s="64"/>
      <x:c r="F119" s="70"/>
      <x:c r="G119" s="92" t="str">
        <x:f>IF(E119="","",IF(E119="Consulta Avulsa",Configuracoes!$B$4,IF(E119="Plano Quinzenal",Configuracoes!$B$5,IF(E119="Plano Semanal",Configuracoes!$B$6,""))))</x:f>
      </x:c>
      <x:c r="H119" s="92" t="str">
        <x:f t="shared" si="16"/>
      </x:c>
      <x:c r="I119" s="64"/>
      <x:c r="J119" s="94" t="n">
        <x:f>IF(I119="PIX",Configuracoes!$E$4,0)</x:f>
        <x:v>0</x:v>
      </x:c>
      <x:c r="K119" s="92" t="str">
        <x:f t="shared" si="17"/>
      </x:c>
      <x:c r="L119" s="92" t="str">
        <x:f t="shared" si="18"/>
      </x:c>
      <x:c r="M119" s="70"/>
      <x:c r="N119" s="72"/>
      <x:c r="O119" s="64"/>
      <x:c r="P119" s="96" t="str">
        <x:f>IF(A119="","",COUNTIFS(Atendimentos!$B$4:$B$403,A119,Atendimentos!$H$4:$H$403,"Realizado"))</x:f>
      </x:c>
      <x:c r="Q119" s="96" t="str">
        <x:f t="shared" si="19"/>
      </x:c>
    </x:row>
    <x:row r="120" ht="20" customHeight="1">
      <x:c r="A120" s="96" t="str">
        <x:f t="shared" si="15"/>
      </x:c>
      <x:c r="B120" s="64"/>
      <x:c r="C120" s="96" t="str">
        <x:f>IF(B120="","",IFERROR(INDEX(Pacientes!$A$4:$A$203,MATCH(B120,Pacientes!$B$4:$B$203,0)),""))</x:f>
      </x:c>
      <x:c r="D120" s="72"/>
      <x:c r="E120" s="64"/>
      <x:c r="F120" s="70"/>
      <x:c r="G120" s="92" t="str">
        <x:f>IF(E120="","",IF(E120="Consulta Avulsa",Configuracoes!$B$4,IF(E120="Plano Quinzenal",Configuracoes!$B$5,IF(E120="Plano Semanal",Configuracoes!$B$6,""))))</x:f>
      </x:c>
      <x:c r="H120" s="92" t="str">
        <x:f t="shared" si="16"/>
      </x:c>
      <x:c r="I120" s="64"/>
      <x:c r="J120" s="94" t="n">
        <x:f>IF(I120="PIX",Configuracoes!$E$4,0)</x:f>
        <x:v>0</x:v>
      </x:c>
      <x:c r="K120" s="92" t="str">
        <x:f t="shared" si="17"/>
      </x:c>
      <x:c r="L120" s="92" t="str">
        <x:f t="shared" si="18"/>
      </x:c>
      <x:c r="M120" s="70"/>
      <x:c r="N120" s="72"/>
      <x:c r="O120" s="64"/>
      <x:c r="P120" s="96" t="str">
        <x:f>IF(A120="","",COUNTIFS(Atendimentos!$B$4:$B$403,A120,Atendimentos!$H$4:$H$403,"Realizado"))</x:f>
      </x:c>
      <x:c r="Q120" s="96" t="str">
        <x:f t="shared" si="19"/>
      </x:c>
    </x:row>
    <x:row r="121" ht="20" customHeight="1">
      <x:c r="A121" s="96" t="str">
        <x:f t="shared" si="15"/>
      </x:c>
      <x:c r="B121" s="64"/>
      <x:c r="C121" s="96" t="str">
        <x:f>IF(B121="","",IFERROR(INDEX(Pacientes!$A$4:$A$203,MATCH(B121,Pacientes!$B$4:$B$203,0)),""))</x:f>
      </x:c>
      <x:c r="D121" s="72"/>
      <x:c r="E121" s="64"/>
      <x:c r="F121" s="70"/>
      <x:c r="G121" s="92" t="str">
        <x:f>IF(E121="","",IF(E121="Consulta Avulsa",Configuracoes!$B$4,IF(E121="Plano Quinzenal",Configuracoes!$B$5,IF(E121="Plano Semanal",Configuracoes!$B$6,""))))</x:f>
      </x:c>
      <x:c r="H121" s="92" t="str">
        <x:f t="shared" si="16"/>
      </x:c>
      <x:c r="I121" s="64"/>
      <x:c r="J121" s="94" t="n">
        <x:f>IF(I121="PIX",Configuracoes!$E$4,0)</x:f>
        <x:v>0</x:v>
      </x:c>
      <x:c r="K121" s="92" t="str">
        <x:f t="shared" si="17"/>
      </x:c>
      <x:c r="L121" s="92" t="str">
        <x:f t="shared" si="18"/>
      </x:c>
      <x:c r="M121" s="70"/>
      <x:c r="N121" s="72"/>
      <x:c r="O121" s="64"/>
      <x:c r="P121" s="96" t="str">
        <x:f>IF(A121="","",COUNTIFS(Atendimentos!$B$4:$B$403,A121,Atendimentos!$H$4:$H$403,"Realizado"))</x:f>
      </x:c>
      <x:c r="Q121" s="96" t="str">
        <x:f t="shared" si="19"/>
      </x:c>
    </x:row>
    <x:row r="122" ht="20" customHeight="1">
      <x:c r="A122" s="96" t="str">
        <x:f t="shared" si="15"/>
      </x:c>
      <x:c r="B122" s="64"/>
      <x:c r="C122" s="96" t="str">
        <x:f>IF(B122="","",IFERROR(INDEX(Pacientes!$A$4:$A$203,MATCH(B122,Pacientes!$B$4:$B$203,0)),""))</x:f>
      </x:c>
      <x:c r="D122" s="72"/>
      <x:c r="E122" s="64"/>
      <x:c r="F122" s="70"/>
      <x:c r="G122" s="92" t="str">
        <x:f>IF(E122="","",IF(E122="Consulta Avulsa",Configuracoes!$B$4,IF(E122="Plano Quinzenal",Configuracoes!$B$5,IF(E122="Plano Semanal",Configuracoes!$B$6,""))))</x:f>
      </x:c>
      <x:c r="H122" s="92" t="str">
        <x:f t="shared" si="16"/>
      </x:c>
      <x:c r="I122" s="64"/>
      <x:c r="J122" s="94" t="n">
        <x:f>IF(I122="PIX",Configuracoes!$E$4,0)</x:f>
        <x:v>0</x:v>
      </x:c>
      <x:c r="K122" s="92" t="str">
        <x:f t="shared" si="17"/>
      </x:c>
      <x:c r="L122" s="92" t="str">
        <x:f t="shared" si="18"/>
      </x:c>
      <x:c r="M122" s="70"/>
      <x:c r="N122" s="72"/>
      <x:c r="O122" s="64"/>
      <x:c r="P122" s="96" t="str">
        <x:f>IF(A122="","",COUNTIFS(Atendimentos!$B$4:$B$403,A122,Atendimentos!$H$4:$H$403,"Realizado"))</x:f>
      </x:c>
      <x:c r="Q122" s="96" t="str">
        <x:f t="shared" si="19"/>
      </x:c>
    </x:row>
    <x:row r="123" ht="20" customHeight="1">
      <x:c r="A123" s="96" t="str">
        <x:f t="shared" si="15"/>
      </x:c>
      <x:c r="B123" s="64"/>
      <x:c r="C123" s="96" t="str">
        <x:f>IF(B123="","",IFERROR(INDEX(Pacientes!$A$4:$A$203,MATCH(B123,Pacientes!$B$4:$B$203,0)),""))</x:f>
      </x:c>
      <x:c r="D123" s="72"/>
      <x:c r="E123" s="64"/>
      <x:c r="F123" s="70"/>
      <x:c r="G123" s="92" t="str">
        <x:f>IF(E123="","",IF(E123="Consulta Avulsa",Configuracoes!$B$4,IF(E123="Plano Quinzenal",Configuracoes!$B$5,IF(E123="Plano Semanal",Configuracoes!$B$6,""))))</x:f>
      </x:c>
      <x:c r="H123" s="92" t="str">
        <x:f t="shared" si="16"/>
      </x:c>
      <x:c r="I123" s="64"/>
      <x:c r="J123" s="94" t="n">
        <x:f>IF(I123="PIX",Configuracoes!$E$4,0)</x:f>
        <x:v>0</x:v>
      </x:c>
      <x:c r="K123" s="92" t="str">
        <x:f t="shared" si="17"/>
      </x:c>
      <x:c r="L123" s="92" t="str">
        <x:f t="shared" si="18"/>
      </x:c>
      <x:c r="M123" s="70"/>
      <x:c r="N123" s="72"/>
      <x:c r="O123" s="64"/>
      <x:c r="P123" s="96" t="str">
        <x:f>IF(A123="","",COUNTIFS(Atendimentos!$B$4:$B$403,A123,Atendimentos!$H$4:$H$403,"Realizado"))</x:f>
      </x:c>
      <x:c r="Q123" s="96" t="str">
        <x:f t="shared" si="19"/>
      </x:c>
    </x:row>
    <x:row r="124" ht="20" customHeight="1">
      <x:c r="A124" s="96" t="str">
        <x:f t="shared" si="15"/>
      </x:c>
      <x:c r="B124" s="64"/>
      <x:c r="C124" s="96" t="str">
        <x:f>IF(B124="","",IFERROR(INDEX(Pacientes!$A$4:$A$203,MATCH(B124,Pacientes!$B$4:$B$203,0)),""))</x:f>
      </x:c>
      <x:c r="D124" s="72"/>
      <x:c r="E124" s="64"/>
      <x:c r="F124" s="70"/>
      <x:c r="G124" s="92" t="str">
        <x:f>IF(E124="","",IF(E124="Consulta Avulsa",Configuracoes!$B$4,IF(E124="Plano Quinzenal",Configuracoes!$B$5,IF(E124="Plano Semanal",Configuracoes!$B$6,""))))</x:f>
      </x:c>
      <x:c r="H124" s="92" t="str">
        <x:f t="shared" si="16"/>
      </x:c>
      <x:c r="I124" s="64"/>
      <x:c r="J124" s="94" t="n">
        <x:f>IF(I124="PIX",Configuracoes!$E$4,0)</x:f>
        <x:v>0</x:v>
      </x:c>
      <x:c r="K124" s="92" t="str">
        <x:f t="shared" si="17"/>
      </x:c>
      <x:c r="L124" s="92" t="str">
        <x:f t="shared" si="18"/>
      </x:c>
      <x:c r="M124" s="70"/>
      <x:c r="N124" s="72"/>
      <x:c r="O124" s="64"/>
      <x:c r="P124" s="96" t="str">
        <x:f>IF(A124="","",COUNTIFS(Atendimentos!$B$4:$B$403,A124,Atendimentos!$H$4:$H$403,"Realizado"))</x:f>
      </x:c>
      <x:c r="Q124" s="96" t="str">
        <x:f t="shared" si="19"/>
      </x:c>
    </x:row>
    <x:row r="125" ht="20" customHeight="1">
      <x:c r="A125" s="96" t="str">
        <x:f t="shared" si="15"/>
      </x:c>
      <x:c r="B125" s="64"/>
      <x:c r="C125" s="96" t="str">
        <x:f>IF(B125="","",IFERROR(INDEX(Pacientes!$A$4:$A$203,MATCH(B125,Pacientes!$B$4:$B$203,0)),""))</x:f>
      </x:c>
      <x:c r="D125" s="72"/>
      <x:c r="E125" s="64"/>
      <x:c r="F125" s="70"/>
      <x:c r="G125" s="92" t="str">
        <x:f>IF(E125="","",IF(E125="Consulta Avulsa",Configuracoes!$B$4,IF(E125="Plano Quinzenal",Configuracoes!$B$5,IF(E125="Plano Semanal",Configuracoes!$B$6,""))))</x:f>
      </x:c>
      <x:c r="H125" s="92" t="str">
        <x:f t="shared" si="16"/>
      </x:c>
      <x:c r="I125" s="64"/>
      <x:c r="J125" s="94" t="n">
        <x:f>IF(I125="PIX",Configuracoes!$E$4,0)</x:f>
        <x:v>0</x:v>
      </x:c>
      <x:c r="K125" s="92" t="str">
        <x:f t="shared" si="17"/>
      </x:c>
      <x:c r="L125" s="92" t="str">
        <x:f t="shared" si="18"/>
      </x:c>
      <x:c r="M125" s="70"/>
      <x:c r="N125" s="72"/>
      <x:c r="O125" s="64"/>
      <x:c r="P125" s="96" t="str">
        <x:f>IF(A125="","",COUNTIFS(Atendimentos!$B$4:$B$403,A125,Atendimentos!$H$4:$H$403,"Realizado"))</x:f>
      </x:c>
      <x:c r="Q125" s="96" t="str">
        <x:f t="shared" si="19"/>
      </x:c>
    </x:row>
    <x:row r="126" ht="20" customHeight="1">
      <x:c r="A126" s="96" t="str">
        <x:f t="shared" si="15"/>
      </x:c>
      <x:c r="B126" s="64"/>
      <x:c r="C126" s="96" t="str">
        <x:f>IF(B126="","",IFERROR(INDEX(Pacientes!$A$4:$A$203,MATCH(B126,Pacientes!$B$4:$B$203,0)),""))</x:f>
      </x:c>
      <x:c r="D126" s="72"/>
      <x:c r="E126" s="64"/>
      <x:c r="F126" s="70"/>
      <x:c r="G126" s="92" t="str">
        <x:f>IF(E126="","",IF(E126="Consulta Avulsa",Configuracoes!$B$4,IF(E126="Plano Quinzenal",Configuracoes!$B$5,IF(E126="Plano Semanal",Configuracoes!$B$6,""))))</x:f>
      </x:c>
      <x:c r="H126" s="92" t="str">
        <x:f t="shared" si="16"/>
      </x:c>
      <x:c r="I126" s="64"/>
      <x:c r="J126" s="94" t="n">
        <x:f>IF(I126="PIX",Configuracoes!$E$4,0)</x:f>
        <x:v>0</x:v>
      </x:c>
      <x:c r="K126" s="92" t="str">
        <x:f t="shared" si="17"/>
      </x:c>
      <x:c r="L126" s="92" t="str">
        <x:f t="shared" si="18"/>
      </x:c>
      <x:c r="M126" s="70"/>
      <x:c r="N126" s="72"/>
      <x:c r="O126" s="64"/>
      <x:c r="P126" s="96" t="str">
        <x:f>IF(A126="","",COUNTIFS(Atendimentos!$B$4:$B$403,A126,Atendimentos!$H$4:$H$403,"Realizado"))</x:f>
      </x:c>
      <x:c r="Q126" s="96" t="str">
        <x:f t="shared" si="19"/>
      </x:c>
    </x:row>
    <x:row r="127" ht="20" customHeight="1">
      <x:c r="A127" s="96" t="str">
        <x:f t="shared" si="15"/>
      </x:c>
      <x:c r="B127" s="64"/>
      <x:c r="C127" s="96" t="str">
        <x:f>IF(B127="","",IFERROR(INDEX(Pacientes!$A$4:$A$203,MATCH(B127,Pacientes!$B$4:$B$203,0)),""))</x:f>
      </x:c>
      <x:c r="D127" s="72"/>
      <x:c r="E127" s="64"/>
      <x:c r="F127" s="70"/>
      <x:c r="G127" s="92" t="str">
        <x:f>IF(E127="","",IF(E127="Consulta Avulsa",Configuracoes!$B$4,IF(E127="Plano Quinzenal",Configuracoes!$B$5,IF(E127="Plano Semanal",Configuracoes!$B$6,""))))</x:f>
      </x:c>
      <x:c r="H127" s="92" t="str">
        <x:f t="shared" si="16"/>
      </x:c>
      <x:c r="I127" s="64"/>
      <x:c r="J127" s="94" t="n">
        <x:f>IF(I127="PIX",Configuracoes!$E$4,0)</x:f>
        <x:v>0</x:v>
      </x:c>
      <x:c r="K127" s="92" t="str">
        <x:f t="shared" si="17"/>
      </x:c>
      <x:c r="L127" s="92" t="str">
        <x:f t="shared" si="18"/>
      </x:c>
      <x:c r="M127" s="70"/>
      <x:c r="N127" s="72"/>
      <x:c r="O127" s="64"/>
      <x:c r="P127" s="96" t="str">
        <x:f>IF(A127="","",COUNTIFS(Atendimentos!$B$4:$B$403,A127,Atendimentos!$H$4:$H$403,"Realizado"))</x:f>
      </x:c>
      <x:c r="Q127" s="96" t="str">
        <x:f t="shared" si="19"/>
      </x:c>
    </x:row>
    <x:row r="128" ht="20" customHeight="1">
      <x:c r="A128" s="96" t="str">
        <x:f t="shared" si="15"/>
      </x:c>
      <x:c r="B128" s="64"/>
      <x:c r="C128" s="96" t="str">
        <x:f>IF(B128="","",IFERROR(INDEX(Pacientes!$A$4:$A$203,MATCH(B128,Pacientes!$B$4:$B$203,0)),""))</x:f>
      </x:c>
      <x:c r="D128" s="72"/>
      <x:c r="E128" s="64"/>
      <x:c r="F128" s="70"/>
      <x:c r="G128" s="92" t="str">
        <x:f>IF(E128="","",IF(E128="Consulta Avulsa",Configuracoes!$B$4,IF(E128="Plano Quinzenal",Configuracoes!$B$5,IF(E128="Plano Semanal",Configuracoes!$B$6,""))))</x:f>
      </x:c>
      <x:c r="H128" s="92" t="str">
        <x:f t="shared" si="16"/>
      </x:c>
      <x:c r="I128" s="64"/>
      <x:c r="J128" s="94" t="n">
        <x:f>IF(I128="PIX",Configuracoes!$E$4,0)</x:f>
        <x:v>0</x:v>
      </x:c>
      <x:c r="K128" s="92" t="str">
        <x:f t="shared" si="17"/>
      </x:c>
      <x:c r="L128" s="92" t="str">
        <x:f t="shared" si="18"/>
      </x:c>
      <x:c r="M128" s="70"/>
      <x:c r="N128" s="72"/>
      <x:c r="O128" s="64"/>
      <x:c r="P128" s="96" t="str">
        <x:f>IF(A128="","",COUNTIFS(Atendimentos!$B$4:$B$403,A128,Atendimentos!$H$4:$H$403,"Realizado"))</x:f>
      </x:c>
      <x:c r="Q128" s="96" t="str">
        <x:f t="shared" si="19"/>
      </x:c>
    </x:row>
    <x:row r="129" ht="20" customHeight="1">
      <x:c r="A129" s="96" t="str">
        <x:f t="shared" si="15"/>
      </x:c>
      <x:c r="B129" s="64"/>
      <x:c r="C129" s="96" t="str">
        <x:f>IF(B129="","",IFERROR(INDEX(Pacientes!$A$4:$A$203,MATCH(B129,Pacientes!$B$4:$B$203,0)),""))</x:f>
      </x:c>
      <x:c r="D129" s="72"/>
      <x:c r="E129" s="64"/>
      <x:c r="F129" s="70"/>
      <x:c r="G129" s="92" t="str">
        <x:f>IF(E129="","",IF(E129="Consulta Avulsa",Configuracoes!$B$4,IF(E129="Plano Quinzenal",Configuracoes!$B$5,IF(E129="Plano Semanal",Configuracoes!$B$6,""))))</x:f>
      </x:c>
      <x:c r="H129" s="92" t="str">
        <x:f t="shared" si="16"/>
      </x:c>
      <x:c r="I129" s="64"/>
      <x:c r="J129" s="94" t="n">
        <x:f>IF(I129="PIX",Configuracoes!$E$4,0)</x:f>
        <x:v>0</x:v>
      </x:c>
      <x:c r="K129" s="92" t="str">
        <x:f t="shared" si="17"/>
      </x:c>
      <x:c r="L129" s="92" t="str">
        <x:f t="shared" si="18"/>
      </x:c>
      <x:c r="M129" s="70"/>
      <x:c r="N129" s="72"/>
      <x:c r="O129" s="64"/>
      <x:c r="P129" s="96" t="str">
        <x:f>IF(A129="","",COUNTIFS(Atendimentos!$B$4:$B$403,A129,Atendimentos!$H$4:$H$403,"Realizado"))</x:f>
      </x:c>
      <x:c r="Q129" s="96" t="str">
        <x:f t="shared" si="19"/>
      </x:c>
    </x:row>
    <x:row r="130" ht="20" customHeight="1">
      <x:c r="A130" s="96" t="str">
        <x:f t="shared" si="15"/>
      </x:c>
      <x:c r="B130" s="64"/>
      <x:c r="C130" s="96" t="str">
        <x:f>IF(B130="","",IFERROR(INDEX(Pacientes!$A$4:$A$203,MATCH(B130,Pacientes!$B$4:$B$203,0)),""))</x:f>
      </x:c>
      <x:c r="D130" s="72"/>
      <x:c r="E130" s="64"/>
      <x:c r="F130" s="70"/>
      <x:c r="G130" s="92" t="str">
        <x:f>IF(E130="","",IF(E130="Consulta Avulsa",Configuracoes!$B$4,IF(E130="Plano Quinzenal",Configuracoes!$B$5,IF(E130="Plano Semanal",Configuracoes!$B$6,""))))</x:f>
      </x:c>
      <x:c r="H130" s="92" t="str">
        <x:f t="shared" si="16"/>
      </x:c>
      <x:c r="I130" s="64"/>
      <x:c r="J130" s="94" t="n">
        <x:f>IF(I130="PIX",Configuracoes!$E$4,0)</x:f>
        <x:v>0</x:v>
      </x:c>
      <x:c r="K130" s="92" t="str">
        <x:f t="shared" si="17"/>
      </x:c>
      <x:c r="L130" s="92" t="str">
        <x:f t="shared" si="18"/>
      </x:c>
      <x:c r="M130" s="70"/>
      <x:c r="N130" s="72"/>
      <x:c r="O130" s="64"/>
      <x:c r="P130" s="96" t="str">
        <x:f>IF(A130="","",COUNTIFS(Atendimentos!$B$4:$B$403,A130,Atendimentos!$H$4:$H$403,"Realizado"))</x:f>
      </x:c>
      <x:c r="Q130" s="96" t="str">
        <x:f t="shared" si="19"/>
      </x:c>
    </x:row>
    <x:row r="131" ht="20" customHeight="1">
      <x:c r="A131" s="96" t="str">
        <x:f t="shared" si="15"/>
      </x:c>
      <x:c r="B131" s="64"/>
      <x:c r="C131" s="96" t="str">
        <x:f>IF(B131="","",IFERROR(INDEX(Pacientes!$A$4:$A$203,MATCH(B131,Pacientes!$B$4:$B$203,0)),""))</x:f>
      </x:c>
      <x:c r="D131" s="72"/>
      <x:c r="E131" s="64"/>
      <x:c r="F131" s="70"/>
      <x:c r="G131" s="92" t="str">
        <x:f>IF(E131="","",IF(E131="Consulta Avulsa",Configuracoes!$B$4,IF(E131="Plano Quinzenal",Configuracoes!$B$5,IF(E131="Plano Semanal",Configuracoes!$B$6,""))))</x:f>
      </x:c>
      <x:c r="H131" s="92" t="str">
        <x:f t="shared" si="16"/>
      </x:c>
      <x:c r="I131" s="64"/>
      <x:c r="J131" s="94" t="n">
        <x:f>IF(I131="PIX",Configuracoes!$E$4,0)</x:f>
        <x:v>0</x:v>
      </x:c>
      <x:c r="K131" s="92" t="str">
        <x:f t="shared" si="17"/>
      </x:c>
      <x:c r="L131" s="92" t="str">
        <x:f t="shared" si="18"/>
      </x:c>
      <x:c r="M131" s="70"/>
      <x:c r="N131" s="72"/>
      <x:c r="O131" s="64"/>
      <x:c r="P131" s="96" t="str">
        <x:f>IF(A131="","",COUNTIFS(Atendimentos!$B$4:$B$403,A131,Atendimentos!$H$4:$H$403,"Realizado"))</x:f>
      </x:c>
      <x:c r="Q131" s="96" t="str">
        <x:f t="shared" si="19"/>
      </x:c>
    </x:row>
    <x:row r="132" ht="20" customHeight="1">
      <x:c r="A132" s="96" t="str">
        <x:f t="shared" ref="A132:A163" si="20">IF(B132="","",ROW()-3)</x:f>
      </x:c>
      <x:c r="B132" s="64"/>
      <x:c r="C132" s="96" t="str">
        <x:f>IF(B132="","",IFERROR(INDEX(Pacientes!$A$4:$A$203,MATCH(B132,Pacientes!$B$4:$B$203,0)),""))</x:f>
      </x:c>
      <x:c r="D132" s="72"/>
      <x:c r="E132" s="64"/>
      <x:c r="F132" s="70"/>
      <x:c r="G132" s="92" t="str">
        <x:f>IF(E132="","",IF(E132="Consulta Avulsa",Configuracoes!$B$4,IF(E132="Plano Quinzenal",Configuracoes!$B$5,IF(E132="Plano Semanal",Configuracoes!$B$6,""))))</x:f>
      </x:c>
      <x:c r="H132" s="92" t="str">
        <x:f t="shared" ref="H132:H163" si="21">IF(OR(F132="",G132=""),"",F132*G132)</x:f>
      </x:c>
      <x:c r="I132" s="64"/>
      <x:c r="J132" s="94" t="n">
        <x:f>IF(I132="PIX",Configuracoes!$E$4,0)</x:f>
        <x:v>0</x:v>
      </x:c>
      <x:c r="K132" s="92" t="str">
        <x:f t="shared" ref="K132:K163" si="22">IF(H132="","",H132*J132)</x:f>
      </x:c>
      <x:c r="L132" s="92" t="str">
        <x:f t="shared" ref="L132:L163" si="23">IF(H132="","",H132-K132)</x:f>
      </x:c>
      <x:c r="M132" s="70"/>
      <x:c r="N132" s="72"/>
      <x:c r="O132" s="64"/>
      <x:c r="P132" s="96" t="str">
        <x:f>IF(A132="","",COUNTIFS(Atendimentos!$B$4:$B$403,A132,Atendimentos!$H$4:$H$403,"Realizado"))</x:f>
      </x:c>
      <x:c r="Q132" s="96" t="str">
        <x:f t="shared" ref="Q132:Q163" si="24">IF(F132="","",MAX(F132-P132,0))</x:f>
      </x:c>
    </x:row>
    <x:row r="133" ht="20" customHeight="1">
      <x:c r="A133" s="96" t="str">
        <x:f t="shared" si="20"/>
      </x:c>
      <x:c r="B133" s="64"/>
      <x:c r="C133" s="96" t="str">
        <x:f>IF(B133="","",IFERROR(INDEX(Pacientes!$A$4:$A$203,MATCH(B133,Pacientes!$B$4:$B$203,0)),""))</x:f>
      </x:c>
      <x:c r="D133" s="72"/>
      <x:c r="E133" s="64"/>
      <x:c r="F133" s="70"/>
      <x:c r="G133" s="92" t="str">
        <x:f>IF(E133="","",IF(E133="Consulta Avulsa",Configuracoes!$B$4,IF(E133="Plano Quinzenal",Configuracoes!$B$5,IF(E133="Plano Semanal",Configuracoes!$B$6,""))))</x:f>
      </x:c>
      <x:c r="H133" s="92" t="str">
        <x:f t="shared" si="21"/>
      </x:c>
      <x:c r="I133" s="64"/>
      <x:c r="J133" s="94" t="n">
        <x:f>IF(I133="PIX",Configuracoes!$E$4,0)</x:f>
        <x:v>0</x:v>
      </x:c>
      <x:c r="K133" s="92" t="str">
        <x:f t="shared" si="22"/>
      </x:c>
      <x:c r="L133" s="92" t="str">
        <x:f t="shared" si="23"/>
      </x:c>
      <x:c r="M133" s="70"/>
      <x:c r="N133" s="72"/>
      <x:c r="O133" s="64"/>
      <x:c r="P133" s="96" t="str">
        <x:f>IF(A133="","",COUNTIFS(Atendimentos!$B$4:$B$403,A133,Atendimentos!$H$4:$H$403,"Realizado"))</x:f>
      </x:c>
      <x:c r="Q133" s="96" t="str">
        <x:f t="shared" si="24"/>
      </x:c>
    </x:row>
    <x:row r="134" ht="20" customHeight="1">
      <x:c r="A134" s="96" t="str">
        <x:f t="shared" si="20"/>
      </x:c>
      <x:c r="B134" s="64"/>
      <x:c r="C134" s="96" t="str">
        <x:f>IF(B134="","",IFERROR(INDEX(Pacientes!$A$4:$A$203,MATCH(B134,Pacientes!$B$4:$B$203,0)),""))</x:f>
      </x:c>
      <x:c r="D134" s="72"/>
      <x:c r="E134" s="64"/>
      <x:c r="F134" s="70"/>
      <x:c r="G134" s="92" t="str">
        <x:f>IF(E134="","",IF(E134="Consulta Avulsa",Configuracoes!$B$4,IF(E134="Plano Quinzenal",Configuracoes!$B$5,IF(E134="Plano Semanal",Configuracoes!$B$6,""))))</x:f>
      </x:c>
      <x:c r="H134" s="92" t="str">
        <x:f t="shared" si="21"/>
      </x:c>
      <x:c r="I134" s="64"/>
      <x:c r="J134" s="94" t="n">
        <x:f>IF(I134="PIX",Configuracoes!$E$4,0)</x:f>
        <x:v>0</x:v>
      </x:c>
      <x:c r="K134" s="92" t="str">
        <x:f t="shared" si="22"/>
      </x:c>
      <x:c r="L134" s="92" t="str">
        <x:f t="shared" si="23"/>
      </x:c>
      <x:c r="M134" s="70"/>
      <x:c r="N134" s="72"/>
      <x:c r="O134" s="64"/>
      <x:c r="P134" s="96" t="str">
        <x:f>IF(A134="","",COUNTIFS(Atendimentos!$B$4:$B$403,A134,Atendimentos!$H$4:$H$403,"Realizado"))</x:f>
      </x:c>
      <x:c r="Q134" s="96" t="str">
        <x:f t="shared" si="24"/>
      </x:c>
    </x:row>
    <x:row r="135" ht="20" customHeight="1">
      <x:c r="A135" s="96" t="str">
        <x:f t="shared" si="20"/>
      </x:c>
      <x:c r="B135" s="64"/>
      <x:c r="C135" s="96" t="str">
        <x:f>IF(B135="","",IFERROR(INDEX(Pacientes!$A$4:$A$203,MATCH(B135,Pacientes!$B$4:$B$203,0)),""))</x:f>
      </x:c>
      <x:c r="D135" s="72"/>
      <x:c r="E135" s="64"/>
      <x:c r="F135" s="70"/>
      <x:c r="G135" s="92" t="str">
        <x:f>IF(E135="","",IF(E135="Consulta Avulsa",Configuracoes!$B$4,IF(E135="Plano Quinzenal",Configuracoes!$B$5,IF(E135="Plano Semanal",Configuracoes!$B$6,""))))</x:f>
      </x:c>
      <x:c r="H135" s="92" t="str">
        <x:f t="shared" si="21"/>
      </x:c>
      <x:c r="I135" s="64"/>
      <x:c r="J135" s="94" t="n">
        <x:f>IF(I135="PIX",Configuracoes!$E$4,0)</x:f>
        <x:v>0</x:v>
      </x:c>
      <x:c r="K135" s="92" t="str">
        <x:f t="shared" si="22"/>
      </x:c>
      <x:c r="L135" s="92" t="str">
        <x:f t="shared" si="23"/>
      </x:c>
      <x:c r="M135" s="70"/>
      <x:c r="N135" s="72"/>
      <x:c r="O135" s="64"/>
      <x:c r="P135" s="96" t="str">
        <x:f>IF(A135="","",COUNTIFS(Atendimentos!$B$4:$B$403,A135,Atendimentos!$H$4:$H$403,"Realizado"))</x:f>
      </x:c>
      <x:c r="Q135" s="96" t="str">
        <x:f t="shared" si="24"/>
      </x:c>
    </x:row>
    <x:row r="136" ht="20" customHeight="1">
      <x:c r="A136" s="96" t="str">
        <x:f t="shared" si="20"/>
      </x:c>
      <x:c r="B136" s="64"/>
      <x:c r="C136" s="96" t="str">
        <x:f>IF(B136="","",IFERROR(INDEX(Pacientes!$A$4:$A$203,MATCH(B136,Pacientes!$B$4:$B$203,0)),""))</x:f>
      </x:c>
      <x:c r="D136" s="72"/>
      <x:c r="E136" s="64"/>
      <x:c r="F136" s="70"/>
      <x:c r="G136" s="92" t="str">
        <x:f>IF(E136="","",IF(E136="Consulta Avulsa",Configuracoes!$B$4,IF(E136="Plano Quinzenal",Configuracoes!$B$5,IF(E136="Plano Semanal",Configuracoes!$B$6,""))))</x:f>
      </x:c>
      <x:c r="H136" s="92" t="str">
        <x:f t="shared" si="21"/>
      </x:c>
      <x:c r="I136" s="64"/>
      <x:c r="J136" s="94" t="n">
        <x:f>IF(I136="PIX",Configuracoes!$E$4,0)</x:f>
        <x:v>0</x:v>
      </x:c>
      <x:c r="K136" s="92" t="str">
        <x:f t="shared" si="22"/>
      </x:c>
      <x:c r="L136" s="92" t="str">
        <x:f t="shared" si="23"/>
      </x:c>
      <x:c r="M136" s="70"/>
      <x:c r="N136" s="72"/>
      <x:c r="O136" s="64"/>
      <x:c r="P136" s="96" t="str">
        <x:f>IF(A136="","",COUNTIFS(Atendimentos!$B$4:$B$403,A136,Atendimentos!$H$4:$H$403,"Realizado"))</x:f>
      </x:c>
      <x:c r="Q136" s="96" t="str">
        <x:f t="shared" si="24"/>
      </x:c>
    </x:row>
    <x:row r="137" ht="20" customHeight="1">
      <x:c r="A137" s="96" t="str">
        <x:f t="shared" si="20"/>
      </x:c>
      <x:c r="B137" s="64"/>
      <x:c r="C137" s="96" t="str">
        <x:f>IF(B137="","",IFERROR(INDEX(Pacientes!$A$4:$A$203,MATCH(B137,Pacientes!$B$4:$B$203,0)),""))</x:f>
      </x:c>
      <x:c r="D137" s="72"/>
      <x:c r="E137" s="64"/>
      <x:c r="F137" s="70"/>
      <x:c r="G137" s="92" t="str">
        <x:f>IF(E137="","",IF(E137="Consulta Avulsa",Configuracoes!$B$4,IF(E137="Plano Quinzenal",Configuracoes!$B$5,IF(E137="Plano Semanal",Configuracoes!$B$6,""))))</x:f>
      </x:c>
      <x:c r="H137" s="92" t="str">
        <x:f t="shared" si="21"/>
      </x:c>
      <x:c r="I137" s="64"/>
      <x:c r="J137" s="94" t="n">
        <x:f>IF(I137="PIX",Configuracoes!$E$4,0)</x:f>
        <x:v>0</x:v>
      </x:c>
      <x:c r="K137" s="92" t="str">
        <x:f t="shared" si="22"/>
      </x:c>
      <x:c r="L137" s="92" t="str">
        <x:f t="shared" si="23"/>
      </x:c>
      <x:c r="M137" s="70"/>
      <x:c r="N137" s="72"/>
      <x:c r="O137" s="64"/>
      <x:c r="P137" s="96" t="str">
        <x:f>IF(A137="","",COUNTIFS(Atendimentos!$B$4:$B$403,A137,Atendimentos!$H$4:$H$403,"Realizado"))</x:f>
      </x:c>
      <x:c r="Q137" s="96" t="str">
        <x:f t="shared" si="24"/>
      </x:c>
    </x:row>
    <x:row r="138" ht="20" customHeight="1">
      <x:c r="A138" s="96" t="str">
        <x:f t="shared" si="20"/>
      </x:c>
      <x:c r="B138" s="64"/>
      <x:c r="C138" s="96" t="str">
        <x:f>IF(B138="","",IFERROR(INDEX(Pacientes!$A$4:$A$203,MATCH(B138,Pacientes!$B$4:$B$203,0)),""))</x:f>
      </x:c>
      <x:c r="D138" s="72"/>
      <x:c r="E138" s="64"/>
      <x:c r="F138" s="70"/>
      <x:c r="G138" s="92" t="str">
        <x:f>IF(E138="","",IF(E138="Consulta Avulsa",Configuracoes!$B$4,IF(E138="Plano Quinzenal",Configuracoes!$B$5,IF(E138="Plano Semanal",Configuracoes!$B$6,""))))</x:f>
      </x:c>
      <x:c r="H138" s="92" t="str">
        <x:f t="shared" si="21"/>
      </x:c>
      <x:c r="I138" s="64"/>
      <x:c r="J138" s="94" t="n">
        <x:f>IF(I138="PIX",Configuracoes!$E$4,0)</x:f>
        <x:v>0</x:v>
      </x:c>
      <x:c r="K138" s="92" t="str">
        <x:f t="shared" si="22"/>
      </x:c>
      <x:c r="L138" s="92" t="str">
        <x:f t="shared" si="23"/>
      </x:c>
      <x:c r="M138" s="70"/>
      <x:c r="N138" s="72"/>
      <x:c r="O138" s="64"/>
      <x:c r="P138" s="96" t="str">
        <x:f>IF(A138="","",COUNTIFS(Atendimentos!$B$4:$B$403,A138,Atendimentos!$H$4:$H$403,"Realizado"))</x:f>
      </x:c>
      <x:c r="Q138" s="96" t="str">
        <x:f t="shared" si="24"/>
      </x:c>
    </x:row>
    <x:row r="139" ht="20" customHeight="1">
      <x:c r="A139" s="96" t="str">
        <x:f t="shared" si="20"/>
      </x:c>
      <x:c r="B139" s="64"/>
      <x:c r="C139" s="96" t="str">
        <x:f>IF(B139="","",IFERROR(INDEX(Pacientes!$A$4:$A$203,MATCH(B139,Pacientes!$B$4:$B$203,0)),""))</x:f>
      </x:c>
      <x:c r="D139" s="72"/>
      <x:c r="E139" s="64"/>
      <x:c r="F139" s="70"/>
      <x:c r="G139" s="92" t="str">
        <x:f>IF(E139="","",IF(E139="Consulta Avulsa",Configuracoes!$B$4,IF(E139="Plano Quinzenal",Configuracoes!$B$5,IF(E139="Plano Semanal",Configuracoes!$B$6,""))))</x:f>
      </x:c>
      <x:c r="H139" s="92" t="str">
        <x:f t="shared" si="21"/>
      </x:c>
      <x:c r="I139" s="64"/>
      <x:c r="J139" s="94" t="n">
        <x:f>IF(I139="PIX",Configuracoes!$E$4,0)</x:f>
        <x:v>0</x:v>
      </x:c>
      <x:c r="K139" s="92" t="str">
        <x:f t="shared" si="22"/>
      </x:c>
      <x:c r="L139" s="92" t="str">
        <x:f t="shared" si="23"/>
      </x:c>
      <x:c r="M139" s="70"/>
      <x:c r="N139" s="72"/>
      <x:c r="O139" s="64"/>
      <x:c r="P139" s="96" t="str">
        <x:f>IF(A139="","",COUNTIFS(Atendimentos!$B$4:$B$403,A139,Atendimentos!$H$4:$H$403,"Realizado"))</x:f>
      </x:c>
      <x:c r="Q139" s="96" t="str">
        <x:f t="shared" si="24"/>
      </x:c>
    </x:row>
    <x:row r="140" ht="20" customHeight="1">
      <x:c r="A140" s="96" t="str">
        <x:f t="shared" si="20"/>
      </x:c>
      <x:c r="B140" s="64"/>
      <x:c r="C140" s="96" t="str">
        <x:f>IF(B140="","",IFERROR(INDEX(Pacientes!$A$4:$A$203,MATCH(B140,Pacientes!$B$4:$B$203,0)),""))</x:f>
      </x:c>
      <x:c r="D140" s="72"/>
      <x:c r="E140" s="64"/>
      <x:c r="F140" s="70"/>
      <x:c r="G140" s="92" t="str">
        <x:f>IF(E140="","",IF(E140="Consulta Avulsa",Configuracoes!$B$4,IF(E140="Plano Quinzenal",Configuracoes!$B$5,IF(E140="Plano Semanal",Configuracoes!$B$6,""))))</x:f>
      </x:c>
      <x:c r="H140" s="92" t="str">
        <x:f t="shared" si="21"/>
      </x:c>
      <x:c r="I140" s="64"/>
      <x:c r="J140" s="94" t="n">
        <x:f>IF(I140="PIX",Configuracoes!$E$4,0)</x:f>
        <x:v>0</x:v>
      </x:c>
      <x:c r="K140" s="92" t="str">
        <x:f t="shared" si="22"/>
      </x:c>
      <x:c r="L140" s="92" t="str">
        <x:f t="shared" si="23"/>
      </x:c>
      <x:c r="M140" s="70"/>
      <x:c r="N140" s="72"/>
      <x:c r="O140" s="64"/>
      <x:c r="P140" s="96" t="str">
        <x:f>IF(A140="","",COUNTIFS(Atendimentos!$B$4:$B$403,A140,Atendimentos!$H$4:$H$403,"Realizado"))</x:f>
      </x:c>
      <x:c r="Q140" s="96" t="str">
        <x:f t="shared" si="24"/>
      </x:c>
    </x:row>
    <x:row r="141" ht="20" customHeight="1">
      <x:c r="A141" s="96" t="str">
        <x:f t="shared" si="20"/>
      </x:c>
      <x:c r="B141" s="64"/>
      <x:c r="C141" s="96" t="str">
        <x:f>IF(B141="","",IFERROR(INDEX(Pacientes!$A$4:$A$203,MATCH(B141,Pacientes!$B$4:$B$203,0)),""))</x:f>
      </x:c>
      <x:c r="D141" s="72"/>
      <x:c r="E141" s="64"/>
      <x:c r="F141" s="70"/>
      <x:c r="G141" s="92" t="str">
        <x:f>IF(E141="","",IF(E141="Consulta Avulsa",Configuracoes!$B$4,IF(E141="Plano Quinzenal",Configuracoes!$B$5,IF(E141="Plano Semanal",Configuracoes!$B$6,""))))</x:f>
      </x:c>
      <x:c r="H141" s="92" t="str">
        <x:f t="shared" si="21"/>
      </x:c>
      <x:c r="I141" s="64"/>
      <x:c r="J141" s="94" t="n">
        <x:f>IF(I141="PIX",Configuracoes!$E$4,0)</x:f>
        <x:v>0</x:v>
      </x:c>
      <x:c r="K141" s="92" t="str">
        <x:f t="shared" si="22"/>
      </x:c>
      <x:c r="L141" s="92" t="str">
        <x:f t="shared" si="23"/>
      </x:c>
      <x:c r="M141" s="70"/>
      <x:c r="N141" s="72"/>
      <x:c r="O141" s="64"/>
      <x:c r="P141" s="96" t="str">
        <x:f>IF(A141="","",COUNTIFS(Atendimentos!$B$4:$B$403,A141,Atendimentos!$H$4:$H$403,"Realizado"))</x:f>
      </x:c>
      <x:c r="Q141" s="96" t="str">
        <x:f t="shared" si="24"/>
      </x:c>
    </x:row>
    <x:row r="142" ht="20" customHeight="1">
      <x:c r="A142" s="96" t="str">
        <x:f t="shared" si="20"/>
      </x:c>
      <x:c r="B142" s="64"/>
      <x:c r="C142" s="96" t="str">
        <x:f>IF(B142="","",IFERROR(INDEX(Pacientes!$A$4:$A$203,MATCH(B142,Pacientes!$B$4:$B$203,0)),""))</x:f>
      </x:c>
      <x:c r="D142" s="72"/>
      <x:c r="E142" s="64"/>
      <x:c r="F142" s="70"/>
      <x:c r="G142" s="92" t="str">
        <x:f>IF(E142="","",IF(E142="Consulta Avulsa",Configuracoes!$B$4,IF(E142="Plano Quinzenal",Configuracoes!$B$5,IF(E142="Plano Semanal",Configuracoes!$B$6,""))))</x:f>
      </x:c>
      <x:c r="H142" s="92" t="str">
        <x:f t="shared" si="21"/>
      </x:c>
      <x:c r="I142" s="64"/>
      <x:c r="J142" s="94" t="n">
        <x:f>IF(I142="PIX",Configuracoes!$E$4,0)</x:f>
        <x:v>0</x:v>
      </x:c>
      <x:c r="K142" s="92" t="str">
        <x:f t="shared" si="22"/>
      </x:c>
      <x:c r="L142" s="92" t="str">
        <x:f t="shared" si="23"/>
      </x:c>
      <x:c r="M142" s="70"/>
      <x:c r="N142" s="72"/>
      <x:c r="O142" s="64"/>
      <x:c r="P142" s="96" t="str">
        <x:f>IF(A142="","",COUNTIFS(Atendimentos!$B$4:$B$403,A142,Atendimentos!$H$4:$H$403,"Realizado"))</x:f>
      </x:c>
      <x:c r="Q142" s="96" t="str">
        <x:f t="shared" si="24"/>
      </x:c>
    </x:row>
    <x:row r="143" ht="20" customHeight="1">
      <x:c r="A143" s="96" t="str">
        <x:f t="shared" si="20"/>
      </x:c>
      <x:c r="B143" s="64"/>
      <x:c r="C143" s="96" t="str">
        <x:f>IF(B143="","",IFERROR(INDEX(Pacientes!$A$4:$A$203,MATCH(B143,Pacientes!$B$4:$B$203,0)),""))</x:f>
      </x:c>
      <x:c r="D143" s="72"/>
      <x:c r="E143" s="64"/>
      <x:c r="F143" s="70"/>
      <x:c r="G143" s="92" t="str">
        <x:f>IF(E143="","",IF(E143="Consulta Avulsa",Configuracoes!$B$4,IF(E143="Plano Quinzenal",Configuracoes!$B$5,IF(E143="Plano Semanal",Configuracoes!$B$6,""))))</x:f>
      </x:c>
      <x:c r="H143" s="92" t="str">
        <x:f t="shared" si="21"/>
      </x:c>
      <x:c r="I143" s="64"/>
      <x:c r="J143" s="94" t="n">
        <x:f>IF(I143="PIX",Configuracoes!$E$4,0)</x:f>
        <x:v>0</x:v>
      </x:c>
      <x:c r="K143" s="92" t="str">
        <x:f t="shared" si="22"/>
      </x:c>
      <x:c r="L143" s="92" t="str">
        <x:f t="shared" si="23"/>
      </x:c>
      <x:c r="M143" s="70"/>
      <x:c r="N143" s="72"/>
      <x:c r="O143" s="64"/>
      <x:c r="P143" s="96" t="str">
        <x:f>IF(A143="","",COUNTIFS(Atendimentos!$B$4:$B$403,A143,Atendimentos!$H$4:$H$403,"Realizado"))</x:f>
      </x:c>
      <x:c r="Q143" s="96" t="str">
        <x:f t="shared" si="24"/>
      </x:c>
    </x:row>
    <x:row r="144" ht="20" customHeight="1">
      <x:c r="A144" s="96" t="str">
        <x:f t="shared" si="20"/>
      </x:c>
      <x:c r="B144" s="64"/>
      <x:c r="C144" s="96" t="str">
        <x:f>IF(B144="","",IFERROR(INDEX(Pacientes!$A$4:$A$203,MATCH(B144,Pacientes!$B$4:$B$203,0)),""))</x:f>
      </x:c>
      <x:c r="D144" s="72"/>
      <x:c r="E144" s="64"/>
      <x:c r="F144" s="70"/>
      <x:c r="G144" s="92" t="str">
        <x:f>IF(E144="","",IF(E144="Consulta Avulsa",Configuracoes!$B$4,IF(E144="Plano Quinzenal",Configuracoes!$B$5,IF(E144="Plano Semanal",Configuracoes!$B$6,""))))</x:f>
      </x:c>
      <x:c r="H144" s="92" t="str">
        <x:f t="shared" si="21"/>
      </x:c>
      <x:c r="I144" s="64"/>
      <x:c r="J144" s="94" t="n">
        <x:f>IF(I144="PIX",Configuracoes!$E$4,0)</x:f>
        <x:v>0</x:v>
      </x:c>
      <x:c r="K144" s="92" t="str">
        <x:f t="shared" si="22"/>
      </x:c>
      <x:c r="L144" s="92" t="str">
        <x:f t="shared" si="23"/>
      </x:c>
      <x:c r="M144" s="70"/>
      <x:c r="N144" s="72"/>
      <x:c r="O144" s="64"/>
      <x:c r="P144" s="96" t="str">
        <x:f>IF(A144="","",COUNTIFS(Atendimentos!$B$4:$B$403,A144,Atendimentos!$H$4:$H$403,"Realizado"))</x:f>
      </x:c>
      <x:c r="Q144" s="96" t="str">
        <x:f t="shared" si="24"/>
      </x:c>
    </x:row>
    <x:row r="145" ht="20" customHeight="1">
      <x:c r="A145" s="96" t="str">
        <x:f t="shared" si="20"/>
      </x:c>
      <x:c r="B145" s="64"/>
      <x:c r="C145" s="96" t="str">
        <x:f>IF(B145="","",IFERROR(INDEX(Pacientes!$A$4:$A$203,MATCH(B145,Pacientes!$B$4:$B$203,0)),""))</x:f>
      </x:c>
      <x:c r="D145" s="72"/>
      <x:c r="E145" s="64"/>
      <x:c r="F145" s="70"/>
      <x:c r="G145" s="92" t="str">
        <x:f>IF(E145="","",IF(E145="Consulta Avulsa",Configuracoes!$B$4,IF(E145="Plano Quinzenal",Configuracoes!$B$5,IF(E145="Plano Semanal",Configuracoes!$B$6,""))))</x:f>
      </x:c>
      <x:c r="H145" s="92" t="str">
        <x:f t="shared" si="21"/>
      </x:c>
      <x:c r="I145" s="64"/>
      <x:c r="J145" s="94" t="n">
        <x:f>IF(I145="PIX",Configuracoes!$E$4,0)</x:f>
        <x:v>0</x:v>
      </x:c>
      <x:c r="K145" s="92" t="str">
        <x:f t="shared" si="22"/>
      </x:c>
      <x:c r="L145" s="92" t="str">
        <x:f t="shared" si="23"/>
      </x:c>
      <x:c r="M145" s="70"/>
      <x:c r="N145" s="72"/>
      <x:c r="O145" s="64"/>
      <x:c r="P145" s="96" t="str">
        <x:f>IF(A145="","",COUNTIFS(Atendimentos!$B$4:$B$403,A145,Atendimentos!$H$4:$H$403,"Realizado"))</x:f>
      </x:c>
      <x:c r="Q145" s="96" t="str">
        <x:f t="shared" si="24"/>
      </x:c>
    </x:row>
    <x:row r="146" ht="20" customHeight="1">
      <x:c r="A146" s="96" t="str">
        <x:f t="shared" si="20"/>
      </x:c>
      <x:c r="B146" s="64"/>
      <x:c r="C146" s="96" t="str">
        <x:f>IF(B146="","",IFERROR(INDEX(Pacientes!$A$4:$A$203,MATCH(B146,Pacientes!$B$4:$B$203,0)),""))</x:f>
      </x:c>
      <x:c r="D146" s="72"/>
      <x:c r="E146" s="64"/>
      <x:c r="F146" s="70"/>
      <x:c r="G146" s="92" t="str">
        <x:f>IF(E146="","",IF(E146="Consulta Avulsa",Configuracoes!$B$4,IF(E146="Plano Quinzenal",Configuracoes!$B$5,IF(E146="Plano Semanal",Configuracoes!$B$6,""))))</x:f>
      </x:c>
      <x:c r="H146" s="92" t="str">
        <x:f t="shared" si="21"/>
      </x:c>
      <x:c r="I146" s="64"/>
      <x:c r="J146" s="94" t="n">
        <x:f>IF(I146="PIX",Configuracoes!$E$4,0)</x:f>
        <x:v>0</x:v>
      </x:c>
      <x:c r="K146" s="92" t="str">
        <x:f t="shared" si="22"/>
      </x:c>
      <x:c r="L146" s="92" t="str">
        <x:f t="shared" si="23"/>
      </x:c>
      <x:c r="M146" s="70"/>
      <x:c r="N146" s="72"/>
      <x:c r="O146" s="64"/>
      <x:c r="P146" s="96" t="str">
        <x:f>IF(A146="","",COUNTIFS(Atendimentos!$B$4:$B$403,A146,Atendimentos!$H$4:$H$403,"Realizado"))</x:f>
      </x:c>
      <x:c r="Q146" s="96" t="str">
        <x:f t="shared" si="24"/>
      </x:c>
    </x:row>
    <x:row r="147" ht="20" customHeight="1">
      <x:c r="A147" s="96" t="str">
        <x:f t="shared" si="20"/>
      </x:c>
      <x:c r="B147" s="64"/>
      <x:c r="C147" s="96" t="str">
        <x:f>IF(B147="","",IFERROR(INDEX(Pacientes!$A$4:$A$203,MATCH(B147,Pacientes!$B$4:$B$203,0)),""))</x:f>
      </x:c>
      <x:c r="D147" s="72"/>
      <x:c r="E147" s="64"/>
      <x:c r="F147" s="70"/>
      <x:c r="G147" s="92" t="str">
        <x:f>IF(E147="","",IF(E147="Consulta Avulsa",Configuracoes!$B$4,IF(E147="Plano Quinzenal",Configuracoes!$B$5,IF(E147="Plano Semanal",Configuracoes!$B$6,""))))</x:f>
      </x:c>
      <x:c r="H147" s="92" t="str">
        <x:f t="shared" si="21"/>
      </x:c>
      <x:c r="I147" s="64"/>
      <x:c r="J147" s="94" t="n">
        <x:f>IF(I147="PIX",Configuracoes!$E$4,0)</x:f>
        <x:v>0</x:v>
      </x:c>
      <x:c r="K147" s="92" t="str">
        <x:f t="shared" si="22"/>
      </x:c>
      <x:c r="L147" s="92" t="str">
        <x:f t="shared" si="23"/>
      </x:c>
      <x:c r="M147" s="70"/>
      <x:c r="N147" s="72"/>
      <x:c r="O147" s="64"/>
      <x:c r="P147" s="96" t="str">
        <x:f>IF(A147="","",COUNTIFS(Atendimentos!$B$4:$B$403,A147,Atendimentos!$H$4:$H$403,"Realizado"))</x:f>
      </x:c>
      <x:c r="Q147" s="96" t="str">
        <x:f t="shared" si="24"/>
      </x:c>
    </x:row>
    <x:row r="148" ht="20" customHeight="1">
      <x:c r="A148" s="96" t="str">
        <x:f t="shared" si="20"/>
      </x:c>
      <x:c r="B148" s="64"/>
      <x:c r="C148" s="96" t="str">
        <x:f>IF(B148="","",IFERROR(INDEX(Pacientes!$A$4:$A$203,MATCH(B148,Pacientes!$B$4:$B$203,0)),""))</x:f>
      </x:c>
      <x:c r="D148" s="72"/>
      <x:c r="E148" s="64"/>
      <x:c r="F148" s="70"/>
      <x:c r="G148" s="92" t="str">
        <x:f>IF(E148="","",IF(E148="Consulta Avulsa",Configuracoes!$B$4,IF(E148="Plano Quinzenal",Configuracoes!$B$5,IF(E148="Plano Semanal",Configuracoes!$B$6,""))))</x:f>
      </x:c>
      <x:c r="H148" s="92" t="str">
        <x:f t="shared" si="21"/>
      </x:c>
      <x:c r="I148" s="64"/>
      <x:c r="J148" s="94" t="n">
        <x:f>IF(I148="PIX",Configuracoes!$E$4,0)</x:f>
        <x:v>0</x:v>
      </x:c>
      <x:c r="K148" s="92" t="str">
        <x:f t="shared" si="22"/>
      </x:c>
      <x:c r="L148" s="92" t="str">
        <x:f t="shared" si="23"/>
      </x:c>
      <x:c r="M148" s="70"/>
      <x:c r="N148" s="72"/>
      <x:c r="O148" s="64"/>
      <x:c r="P148" s="96" t="str">
        <x:f>IF(A148="","",COUNTIFS(Atendimentos!$B$4:$B$403,A148,Atendimentos!$H$4:$H$403,"Realizado"))</x:f>
      </x:c>
      <x:c r="Q148" s="96" t="str">
        <x:f t="shared" si="24"/>
      </x:c>
    </x:row>
    <x:row r="149" ht="20" customHeight="1">
      <x:c r="A149" s="96" t="str">
        <x:f t="shared" si="20"/>
      </x:c>
      <x:c r="B149" s="64"/>
      <x:c r="C149" s="96" t="str">
        <x:f>IF(B149="","",IFERROR(INDEX(Pacientes!$A$4:$A$203,MATCH(B149,Pacientes!$B$4:$B$203,0)),""))</x:f>
      </x:c>
      <x:c r="D149" s="72"/>
      <x:c r="E149" s="64"/>
      <x:c r="F149" s="70"/>
      <x:c r="G149" s="92" t="str">
        <x:f>IF(E149="","",IF(E149="Consulta Avulsa",Configuracoes!$B$4,IF(E149="Plano Quinzenal",Configuracoes!$B$5,IF(E149="Plano Semanal",Configuracoes!$B$6,""))))</x:f>
      </x:c>
      <x:c r="H149" s="92" t="str">
        <x:f t="shared" si="21"/>
      </x:c>
      <x:c r="I149" s="64"/>
      <x:c r="J149" s="94" t="n">
        <x:f>IF(I149="PIX",Configuracoes!$E$4,0)</x:f>
        <x:v>0</x:v>
      </x:c>
      <x:c r="K149" s="92" t="str">
        <x:f t="shared" si="22"/>
      </x:c>
      <x:c r="L149" s="92" t="str">
        <x:f t="shared" si="23"/>
      </x:c>
      <x:c r="M149" s="70"/>
      <x:c r="N149" s="72"/>
      <x:c r="O149" s="64"/>
      <x:c r="P149" s="96" t="str">
        <x:f>IF(A149="","",COUNTIFS(Atendimentos!$B$4:$B$403,A149,Atendimentos!$H$4:$H$403,"Realizado"))</x:f>
      </x:c>
      <x:c r="Q149" s="96" t="str">
        <x:f t="shared" si="24"/>
      </x:c>
    </x:row>
    <x:row r="150" ht="20" customHeight="1">
      <x:c r="A150" s="96" t="str">
        <x:f t="shared" si="20"/>
      </x:c>
      <x:c r="B150" s="64"/>
      <x:c r="C150" s="96" t="str">
        <x:f>IF(B150="","",IFERROR(INDEX(Pacientes!$A$4:$A$203,MATCH(B150,Pacientes!$B$4:$B$203,0)),""))</x:f>
      </x:c>
      <x:c r="D150" s="72"/>
      <x:c r="E150" s="64"/>
      <x:c r="F150" s="70"/>
      <x:c r="G150" s="92" t="str">
        <x:f>IF(E150="","",IF(E150="Consulta Avulsa",Configuracoes!$B$4,IF(E150="Plano Quinzenal",Configuracoes!$B$5,IF(E150="Plano Semanal",Configuracoes!$B$6,""))))</x:f>
      </x:c>
      <x:c r="H150" s="92" t="str">
        <x:f t="shared" si="21"/>
      </x:c>
      <x:c r="I150" s="64"/>
      <x:c r="J150" s="94" t="n">
        <x:f>IF(I150="PIX",Configuracoes!$E$4,0)</x:f>
        <x:v>0</x:v>
      </x:c>
      <x:c r="K150" s="92" t="str">
        <x:f t="shared" si="22"/>
      </x:c>
      <x:c r="L150" s="92" t="str">
        <x:f t="shared" si="23"/>
      </x:c>
      <x:c r="M150" s="70"/>
      <x:c r="N150" s="72"/>
      <x:c r="O150" s="64"/>
      <x:c r="P150" s="96" t="str">
        <x:f>IF(A150="","",COUNTIFS(Atendimentos!$B$4:$B$403,A150,Atendimentos!$H$4:$H$403,"Realizado"))</x:f>
      </x:c>
      <x:c r="Q150" s="96" t="str">
        <x:f t="shared" si="24"/>
      </x:c>
    </x:row>
    <x:row r="151" ht="20" customHeight="1">
      <x:c r="A151" s="96" t="str">
        <x:f t="shared" si="20"/>
      </x:c>
      <x:c r="B151" s="64"/>
      <x:c r="C151" s="96" t="str">
        <x:f>IF(B151="","",IFERROR(INDEX(Pacientes!$A$4:$A$203,MATCH(B151,Pacientes!$B$4:$B$203,0)),""))</x:f>
      </x:c>
      <x:c r="D151" s="72"/>
      <x:c r="E151" s="64"/>
      <x:c r="F151" s="70"/>
      <x:c r="G151" s="92" t="str">
        <x:f>IF(E151="","",IF(E151="Consulta Avulsa",Configuracoes!$B$4,IF(E151="Plano Quinzenal",Configuracoes!$B$5,IF(E151="Plano Semanal",Configuracoes!$B$6,""))))</x:f>
      </x:c>
      <x:c r="H151" s="92" t="str">
        <x:f t="shared" si="21"/>
      </x:c>
      <x:c r="I151" s="64"/>
      <x:c r="J151" s="94" t="n">
        <x:f>IF(I151="PIX",Configuracoes!$E$4,0)</x:f>
        <x:v>0</x:v>
      </x:c>
      <x:c r="K151" s="92" t="str">
        <x:f t="shared" si="22"/>
      </x:c>
      <x:c r="L151" s="92" t="str">
        <x:f t="shared" si="23"/>
      </x:c>
      <x:c r="M151" s="70"/>
      <x:c r="N151" s="72"/>
      <x:c r="O151" s="64"/>
      <x:c r="P151" s="96" t="str">
        <x:f>IF(A151="","",COUNTIFS(Atendimentos!$B$4:$B$403,A151,Atendimentos!$H$4:$H$403,"Realizado"))</x:f>
      </x:c>
      <x:c r="Q151" s="96" t="str">
        <x:f t="shared" si="24"/>
      </x:c>
    </x:row>
    <x:row r="152" ht="20" customHeight="1">
      <x:c r="A152" s="96" t="str">
        <x:f t="shared" si="20"/>
      </x:c>
      <x:c r="B152" s="64"/>
      <x:c r="C152" s="96" t="str">
        <x:f>IF(B152="","",IFERROR(INDEX(Pacientes!$A$4:$A$203,MATCH(B152,Pacientes!$B$4:$B$203,0)),""))</x:f>
      </x:c>
      <x:c r="D152" s="72"/>
      <x:c r="E152" s="64"/>
      <x:c r="F152" s="70"/>
      <x:c r="G152" s="92" t="str">
        <x:f>IF(E152="","",IF(E152="Consulta Avulsa",Configuracoes!$B$4,IF(E152="Plano Quinzenal",Configuracoes!$B$5,IF(E152="Plano Semanal",Configuracoes!$B$6,""))))</x:f>
      </x:c>
      <x:c r="H152" s="92" t="str">
        <x:f t="shared" si="21"/>
      </x:c>
      <x:c r="I152" s="64"/>
      <x:c r="J152" s="94" t="n">
        <x:f>IF(I152="PIX",Configuracoes!$E$4,0)</x:f>
        <x:v>0</x:v>
      </x:c>
      <x:c r="K152" s="92" t="str">
        <x:f t="shared" si="22"/>
      </x:c>
      <x:c r="L152" s="92" t="str">
        <x:f t="shared" si="23"/>
      </x:c>
      <x:c r="M152" s="70"/>
      <x:c r="N152" s="72"/>
      <x:c r="O152" s="64"/>
      <x:c r="P152" s="96" t="str">
        <x:f>IF(A152="","",COUNTIFS(Atendimentos!$B$4:$B$403,A152,Atendimentos!$H$4:$H$403,"Realizado"))</x:f>
      </x:c>
      <x:c r="Q152" s="96" t="str">
        <x:f t="shared" si="24"/>
      </x:c>
    </x:row>
    <x:row r="153" ht="20" customHeight="1">
      <x:c r="A153" s="96" t="str">
        <x:f t="shared" si="20"/>
      </x:c>
      <x:c r="B153" s="64"/>
      <x:c r="C153" s="96" t="str">
        <x:f>IF(B153="","",IFERROR(INDEX(Pacientes!$A$4:$A$203,MATCH(B153,Pacientes!$B$4:$B$203,0)),""))</x:f>
      </x:c>
      <x:c r="D153" s="72"/>
      <x:c r="E153" s="64"/>
      <x:c r="F153" s="70"/>
      <x:c r="G153" s="92" t="str">
        <x:f>IF(E153="","",IF(E153="Consulta Avulsa",Configuracoes!$B$4,IF(E153="Plano Quinzenal",Configuracoes!$B$5,IF(E153="Plano Semanal",Configuracoes!$B$6,""))))</x:f>
      </x:c>
      <x:c r="H153" s="92" t="str">
        <x:f t="shared" si="21"/>
      </x:c>
      <x:c r="I153" s="64"/>
      <x:c r="J153" s="94" t="n">
        <x:f>IF(I153="PIX",Configuracoes!$E$4,0)</x:f>
        <x:v>0</x:v>
      </x:c>
      <x:c r="K153" s="92" t="str">
        <x:f t="shared" si="22"/>
      </x:c>
      <x:c r="L153" s="92" t="str">
        <x:f t="shared" si="23"/>
      </x:c>
      <x:c r="M153" s="70"/>
      <x:c r="N153" s="72"/>
      <x:c r="O153" s="64"/>
      <x:c r="P153" s="96" t="str">
        <x:f>IF(A153="","",COUNTIFS(Atendimentos!$B$4:$B$403,A153,Atendimentos!$H$4:$H$403,"Realizado"))</x:f>
      </x:c>
      <x:c r="Q153" s="96" t="str">
        <x:f t="shared" si="24"/>
      </x:c>
    </x:row>
    <x:row r="154" ht="20" customHeight="1">
      <x:c r="A154" s="96" t="str">
        <x:f t="shared" si="20"/>
      </x:c>
      <x:c r="B154" s="64"/>
      <x:c r="C154" s="96" t="str">
        <x:f>IF(B154="","",IFERROR(INDEX(Pacientes!$A$4:$A$203,MATCH(B154,Pacientes!$B$4:$B$203,0)),""))</x:f>
      </x:c>
      <x:c r="D154" s="72"/>
      <x:c r="E154" s="64"/>
      <x:c r="F154" s="70"/>
      <x:c r="G154" s="92" t="str">
        <x:f>IF(E154="","",IF(E154="Consulta Avulsa",Configuracoes!$B$4,IF(E154="Plano Quinzenal",Configuracoes!$B$5,IF(E154="Plano Semanal",Configuracoes!$B$6,""))))</x:f>
      </x:c>
      <x:c r="H154" s="92" t="str">
        <x:f t="shared" si="21"/>
      </x:c>
      <x:c r="I154" s="64"/>
      <x:c r="J154" s="94" t="n">
        <x:f>IF(I154="PIX",Configuracoes!$E$4,0)</x:f>
        <x:v>0</x:v>
      </x:c>
      <x:c r="K154" s="92" t="str">
        <x:f t="shared" si="22"/>
      </x:c>
      <x:c r="L154" s="92" t="str">
        <x:f t="shared" si="23"/>
      </x:c>
      <x:c r="M154" s="70"/>
      <x:c r="N154" s="72"/>
      <x:c r="O154" s="64"/>
      <x:c r="P154" s="96" t="str">
        <x:f>IF(A154="","",COUNTIFS(Atendimentos!$B$4:$B$403,A154,Atendimentos!$H$4:$H$403,"Realizado"))</x:f>
      </x:c>
      <x:c r="Q154" s="96" t="str">
        <x:f t="shared" si="24"/>
      </x:c>
    </x:row>
    <x:row r="155" ht="20" customHeight="1">
      <x:c r="A155" s="96" t="str">
        <x:f t="shared" si="20"/>
      </x:c>
      <x:c r="B155" s="64"/>
      <x:c r="C155" s="96" t="str">
        <x:f>IF(B155="","",IFERROR(INDEX(Pacientes!$A$4:$A$203,MATCH(B155,Pacientes!$B$4:$B$203,0)),""))</x:f>
      </x:c>
      <x:c r="D155" s="72"/>
      <x:c r="E155" s="64"/>
      <x:c r="F155" s="70"/>
      <x:c r="G155" s="92" t="str">
        <x:f>IF(E155="","",IF(E155="Consulta Avulsa",Configuracoes!$B$4,IF(E155="Plano Quinzenal",Configuracoes!$B$5,IF(E155="Plano Semanal",Configuracoes!$B$6,""))))</x:f>
      </x:c>
      <x:c r="H155" s="92" t="str">
        <x:f t="shared" si="21"/>
      </x:c>
      <x:c r="I155" s="64"/>
      <x:c r="J155" s="94" t="n">
        <x:f>IF(I155="PIX",Configuracoes!$E$4,0)</x:f>
        <x:v>0</x:v>
      </x:c>
      <x:c r="K155" s="92" t="str">
        <x:f t="shared" si="22"/>
      </x:c>
      <x:c r="L155" s="92" t="str">
        <x:f t="shared" si="23"/>
      </x:c>
      <x:c r="M155" s="70"/>
      <x:c r="N155" s="72"/>
      <x:c r="O155" s="64"/>
      <x:c r="P155" s="96" t="str">
        <x:f>IF(A155="","",COUNTIFS(Atendimentos!$B$4:$B$403,A155,Atendimentos!$H$4:$H$403,"Realizado"))</x:f>
      </x:c>
      <x:c r="Q155" s="96" t="str">
        <x:f t="shared" si="24"/>
      </x:c>
    </x:row>
    <x:row r="156" ht="20" customHeight="1">
      <x:c r="A156" s="96" t="str">
        <x:f t="shared" si="20"/>
      </x:c>
      <x:c r="B156" s="64"/>
      <x:c r="C156" s="96" t="str">
        <x:f>IF(B156="","",IFERROR(INDEX(Pacientes!$A$4:$A$203,MATCH(B156,Pacientes!$B$4:$B$203,0)),""))</x:f>
      </x:c>
      <x:c r="D156" s="72"/>
      <x:c r="E156" s="64"/>
      <x:c r="F156" s="70"/>
      <x:c r="G156" s="92" t="str">
        <x:f>IF(E156="","",IF(E156="Consulta Avulsa",Configuracoes!$B$4,IF(E156="Plano Quinzenal",Configuracoes!$B$5,IF(E156="Plano Semanal",Configuracoes!$B$6,""))))</x:f>
      </x:c>
      <x:c r="H156" s="92" t="str">
        <x:f t="shared" si="21"/>
      </x:c>
      <x:c r="I156" s="64"/>
      <x:c r="J156" s="94" t="n">
        <x:f>IF(I156="PIX",Configuracoes!$E$4,0)</x:f>
        <x:v>0</x:v>
      </x:c>
      <x:c r="K156" s="92" t="str">
        <x:f t="shared" si="22"/>
      </x:c>
      <x:c r="L156" s="92" t="str">
        <x:f t="shared" si="23"/>
      </x:c>
      <x:c r="M156" s="70"/>
      <x:c r="N156" s="72"/>
      <x:c r="O156" s="64"/>
      <x:c r="P156" s="96" t="str">
        <x:f>IF(A156="","",COUNTIFS(Atendimentos!$B$4:$B$403,A156,Atendimentos!$H$4:$H$403,"Realizado"))</x:f>
      </x:c>
      <x:c r="Q156" s="96" t="str">
        <x:f t="shared" si="24"/>
      </x:c>
    </x:row>
    <x:row r="157" ht="20" customHeight="1">
      <x:c r="A157" s="96" t="str">
        <x:f t="shared" si="20"/>
      </x:c>
      <x:c r="B157" s="64"/>
      <x:c r="C157" s="96" t="str">
        <x:f>IF(B157="","",IFERROR(INDEX(Pacientes!$A$4:$A$203,MATCH(B157,Pacientes!$B$4:$B$203,0)),""))</x:f>
      </x:c>
      <x:c r="D157" s="72"/>
      <x:c r="E157" s="64"/>
      <x:c r="F157" s="70"/>
      <x:c r="G157" s="92" t="str">
        <x:f>IF(E157="","",IF(E157="Consulta Avulsa",Configuracoes!$B$4,IF(E157="Plano Quinzenal",Configuracoes!$B$5,IF(E157="Plano Semanal",Configuracoes!$B$6,""))))</x:f>
      </x:c>
      <x:c r="H157" s="92" t="str">
        <x:f t="shared" si="21"/>
      </x:c>
      <x:c r="I157" s="64"/>
      <x:c r="J157" s="94" t="n">
        <x:f>IF(I157="PIX",Configuracoes!$E$4,0)</x:f>
        <x:v>0</x:v>
      </x:c>
      <x:c r="K157" s="92" t="str">
        <x:f t="shared" si="22"/>
      </x:c>
      <x:c r="L157" s="92" t="str">
        <x:f t="shared" si="23"/>
      </x:c>
      <x:c r="M157" s="70"/>
      <x:c r="N157" s="72"/>
      <x:c r="O157" s="64"/>
      <x:c r="P157" s="96" t="str">
        <x:f>IF(A157="","",COUNTIFS(Atendimentos!$B$4:$B$403,A157,Atendimentos!$H$4:$H$403,"Realizado"))</x:f>
      </x:c>
      <x:c r="Q157" s="96" t="str">
        <x:f t="shared" si="24"/>
      </x:c>
    </x:row>
    <x:row r="158" ht="20" customHeight="1">
      <x:c r="A158" s="96" t="str">
        <x:f t="shared" si="20"/>
      </x:c>
      <x:c r="B158" s="64"/>
      <x:c r="C158" s="96" t="str">
        <x:f>IF(B158="","",IFERROR(INDEX(Pacientes!$A$4:$A$203,MATCH(B158,Pacientes!$B$4:$B$203,0)),""))</x:f>
      </x:c>
      <x:c r="D158" s="72"/>
      <x:c r="E158" s="64"/>
      <x:c r="F158" s="70"/>
      <x:c r="G158" s="92" t="str">
        <x:f>IF(E158="","",IF(E158="Consulta Avulsa",Configuracoes!$B$4,IF(E158="Plano Quinzenal",Configuracoes!$B$5,IF(E158="Plano Semanal",Configuracoes!$B$6,""))))</x:f>
      </x:c>
      <x:c r="H158" s="92" t="str">
        <x:f t="shared" si="21"/>
      </x:c>
      <x:c r="I158" s="64"/>
      <x:c r="J158" s="94" t="n">
        <x:f>IF(I158="PIX",Configuracoes!$E$4,0)</x:f>
        <x:v>0</x:v>
      </x:c>
      <x:c r="K158" s="92" t="str">
        <x:f t="shared" si="22"/>
      </x:c>
      <x:c r="L158" s="92" t="str">
        <x:f t="shared" si="23"/>
      </x:c>
      <x:c r="M158" s="70"/>
      <x:c r="N158" s="72"/>
      <x:c r="O158" s="64"/>
      <x:c r="P158" s="96" t="str">
        <x:f>IF(A158="","",COUNTIFS(Atendimentos!$B$4:$B$403,A158,Atendimentos!$H$4:$H$403,"Realizado"))</x:f>
      </x:c>
      <x:c r="Q158" s="96" t="str">
        <x:f t="shared" si="24"/>
      </x:c>
    </x:row>
    <x:row r="159" ht="20" customHeight="1">
      <x:c r="A159" s="96" t="str">
        <x:f t="shared" si="20"/>
      </x:c>
      <x:c r="B159" s="64"/>
      <x:c r="C159" s="96" t="str">
        <x:f>IF(B159="","",IFERROR(INDEX(Pacientes!$A$4:$A$203,MATCH(B159,Pacientes!$B$4:$B$203,0)),""))</x:f>
      </x:c>
      <x:c r="D159" s="72"/>
      <x:c r="E159" s="64"/>
      <x:c r="F159" s="70"/>
      <x:c r="G159" s="92" t="str">
        <x:f>IF(E159="","",IF(E159="Consulta Avulsa",Configuracoes!$B$4,IF(E159="Plano Quinzenal",Configuracoes!$B$5,IF(E159="Plano Semanal",Configuracoes!$B$6,""))))</x:f>
      </x:c>
      <x:c r="H159" s="92" t="str">
        <x:f t="shared" si="21"/>
      </x:c>
      <x:c r="I159" s="64"/>
      <x:c r="J159" s="94" t="n">
        <x:f>IF(I159="PIX",Configuracoes!$E$4,0)</x:f>
        <x:v>0</x:v>
      </x:c>
      <x:c r="K159" s="92" t="str">
        <x:f t="shared" si="22"/>
      </x:c>
      <x:c r="L159" s="92" t="str">
        <x:f t="shared" si="23"/>
      </x:c>
      <x:c r="M159" s="70"/>
      <x:c r="N159" s="72"/>
      <x:c r="O159" s="64"/>
      <x:c r="P159" s="96" t="str">
        <x:f>IF(A159="","",COUNTIFS(Atendimentos!$B$4:$B$403,A159,Atendimentos!$H$4:$H$403,"Realizado"))</x:f>
      </x:c>
      <x:c r="Q159" s="96" t="str">
        <x:f t="shared" si="24"/>
      </x:c>
    </x:row>
    <x:row r="160" ht="20" customHeight="1">
      <x:c r="A160" s="96" t="str">
        <x:f t="shared" si="20"/>
      </x:c>
      <x:c r="B160" s="64"/>
      <x:c r="C160" s="96" t="str">
        <x:f>IF(B160="","",IFERROR(INDEX(Pacientes!$A$4:$A$203,MATCH(B160,Pacientes!$B$4:$B$203,0)),""))</x:f>
      </x:c>
      <x:c r="D160" s="72"/>
      <x:c r="E160" s="64"/>
      <x:c r="F160" s="70"/>
      <x:c r="G160" s="92" t="str">
        <x:f>IF(E160="","",IF(E160="Consulta Avulsa",Configuracoes!$B$4,IF(E160="Plano Quinzenal",Configuracoes!$B$5,IF(E160="Plano Semanal",Configuracoes!$B$6,""))))</x:f>
      </x:c>
      <x:c r="H160" s="92" t="str">
        <x:f t="shared" si="21"/>
      </x:c>
      <x:c r="I160" s="64"/>
      <x:c r="J160" s="94" t="n">
        <x:f>IF(I160="PIX",Configuracoes!$E$4,0)</x:f>
        <x:v>0</x:v>
      </x:c>
      <x:c r="K160" s="92" t="str">
        <x:f t="shared" si="22"/>
      </x:c>
      <x:c r="L160" s="92" t="str">
        <x:f t="shared" si="23"/>
      </x:c>
      <x:c r="M160" s="70"/>
      <x:c r="N160" s="72"/>
      <x:c r="O160" s="64"/>
      <x:c r="P160" s="96" t="str">
        <x:f>IF(A160="","",COUNTIFS(Atendimentos!$B$4:$B$403,A160,Atendimentos!$H$4:$H$403,"Realizado"))</x:f>
      </x:c>
      <x:c r="Q160" s="96" t="str">
        <x:f t="shared" si="24"/>
      </x:c>
    </x:row>
    <x:row r="161" ht="20" customHeight="1">
      <x:c r="A161" s="96" t="str">
        <x:f t="shared" si="20"/>
      </x:c>
      <x:c r="B161" s="64"/>
      <x:c r="C161" s="96" t="str">
        <x:f>IF(B161="","",IFERROR(INDEX(Pacientes!$A$4:$A$203,MATCH(B161,Pacientes!$B$4:$B$203,0)),""))</x:f>
      </x:c>
      <x:c r="D161" s="72"/>
      <x:c r="E161" s="64"/>
      <x:c r="F161" s="70"/>
      <x:c r="G161" s="92" t="str">
        <x:f>IF(E161="","",IF(E161="Consulta Avulsa",Configuracoes!$B$4,IF(E161="Plano Quinzenal",Configuracoes!$B$5,IF(E161="Plano Semanal",Configuracoes!$B$6,""))))</x:f>
      </x:c>
      <x:c r="H161" s="92" t="str">
        <x:f t="shared" si="21"/>
      </x:c>
      <x:c r="I161" s="64"/>
      <x:c r="J161" s="94" t="n">
        <x:f>IF(I161="PIX",Configuracoes!$E$4,0)</x:f>
        <x:v>0</x:v>
      </x:c>
      <x:c r="K161" s="92" t="str">
        <x:f t="shared" si="22"/>
      </x:c>
      <x:c r="L161" s="92" t="str">
        <x:f t="shared" si="23"/>
      </x:c>
      <x:c r="M161" s="70"/>
      <x:c r="N161" s="72"/>
      <x:c r="O161" s="64"/>
      <x:c r="P161" s="96" t="str">
        <x:f>IF(A161="","",COUNTIFS(Atendimentos!$B$4:$B$403,A161,Atendimentos!$H$4:$H$403,"Realizado"))</x:f>
      </x:c>
      <x:c r="Q161" s="96" t="str">
        <x:f t="shared" si="24"/>
      </x:c>
    </x:row>
    <x:row r="162" ht="20" customHeight="1">
      <x:c r="A162" s="96" t="str">
        <x:f t="shared" si="20"/>
      </x:c>
      <x:c r="B162" s="64"/>
      <x:c r="C162" s="96" t="str">
        <x:f>IF(B162="","",IFERROR(INDEX(Pacientes!$A$4:$A$203,MATCH(B162,Pacientes!$B$4:$B$203,0)),""))</x:f>
      </x:c>
      <x:c r="D162" s="72"/>
      <x:c r="E162" s="64"/>
      <x:c r="F162" s="70"/>
      <x:c r="G162" s="92" t="str">
        <x:f>IF(E162="","",IF(E162="Consulta Avulsa",Configuracoes!$B$4,IF(E162="Plano Quinzenal",Configuracoes!$B$5,IF(E162="Plano Semanal",Configuracoes!$B$6,""))))</x:f>
      </x:c>
      <x:c r="H162" s="92" t="str">
        <x:f t="shared" si="21"/>
      </x:c>
      <x:c r="I162" s="64"/>
      <x:c r="J162" s="94" t="n">
        <x:f>IF(I162="PIX",Configuracoes!$E$4,0)</x:f>
        <x:v>0</x:v>
      </x:c>
      <x:c r="K162" s="92" t="str">
        <x:f t="shared" si="22"/>
      </x:c>
      <x:c r="L162" s="92" t="str">
        <x:f t="shared" si="23"/>
      </x:c>
      <x:c r="M162" s="70"/>
      <x:c r="N162" s="72"/>
      <x:c r="O162" s="64"/>
      <x:c r="P162" s="96" t="str">
        <x:f>IF(A162="","",COUNTIFS(Atendimentos!$B$4:$B$403,A162,Atendimentos!$H$4:$H$403,"Realizado"))</x:f>
      </x:c>
      <x:c r="Q162" s="96" t="str">
        <x:f t="shared" si="24"/>
      </x:c>
    </x:row>
    <x:row r="163" ht="20" customHeight="1">
      <x:c r="A163" s="96" t="str">
        <x:f t="shared" si="20"/>
      </x:c>
      <x:c r="B163" s="64"/>
      <x:c r="C163" s="96" t="str">
        <x:f>IF(B163="","",IFERROR(INDEX(Pacientes!$A$4:$A$203,MATCH(B163,Pacientes!$B$4:$B$203,0)),""))</x:f>
      </x:c>
      <x:c r="D163" s="72"/>
      <x:c r="E163" s="64"/>
      <x:c r="F163" s="70"/>
      <x:c r="G163" s="92" t="str">
        <x:f>IF(E163="","",IF(E163="Consulta Avulsa",Configuracoes!$B$4,IF(E163="Plano Quinzenal",Configuracoes!$B$5,IF(E163="Plano Semanal",Configuracoes!$B$6,""))))</x:f>
      </x:c>
      <x:c r="H163" s="92" t="str">
        <x:f t="shared" si="21"/>
      </x:c>
      <x:c r="I163" s="64"/>
      <x:c r="J163" s="94" t="n">
        <x:f>IF(I163="PIX",Configuracoes!$E$4,0)</x:f>
        <x:v>0</x:v>
      </x:c>
      <x:c r="K163" s="92" t="str">
        <x:f t="shared" si="22"/>
      </x:c>
      <x:c r="L163" s="92" t="str">
        <x:f t="shared" si="23"/>
      </x:c>
      <x:c r="M163" s="70"/>
      <x:c r="N163" s="72"/>
      <x:c r="O163" s="64"/>
      <x:c r="P163" s="96" t="str">
        <x:f>IF(A163="","",COUNTIFS(Atendimentos!$B$4:$B$403,A163,Atendimentos!$H$4:$H$403,"Realizado"))</x:f>
      </x:c>
      <x:c r="Q163" s="96" t="str">
        <x:f t="shared" si="24"/>
      </x:c>
    </x:row>
    <x:row r="164" ht="20" customHeight="1">
      <x:c r="A164" s="96" t="str">
        <x:f t="shared" ref="A164:A195" si="25">IF(B164="","",ROW()-3)</x:f>
      </x:c>
      <x:c r="B164" s="64"/>
      <x:c r="C164" s="96" t="str">
        <x:f>IF(B164="","",IFERROR(INDEX(Pacientes!$A$4:$A$203,MATCH(B164,Pacientes!$B$4:$B$203,0)),""))</x:f>
      </x:c>
      <x:c r="D164" s="72"/>
      <x:c r="E164" s="64"/>
      <x:c r="F164" s="70"/>
      <x:c r="G164" s="92" t="str">
        <x:f>IF(E164="","",IF(E164="Consulta Avulsa",Configuracoes!$B$4,IF(E164="Plano Quinzenal",Configuracoes!$B$5,IF(E164="Plano Semanal",Configuracoes!$B$6,""))))</x:f>
      </x:c>
      <x:c r="H164" s="92" t="str">
        <x:f t="shared" ref="H164:H195" si="26">IF(OR(F164="",G164=""),"",F164*G164)</x:f>
      </x:c>
      <x:c r="I164" s="64"/>
      <x:c r="J164" s="94" t="n">
        <x:f>IF(I164="PIX",Configuracoes!$E$4,0)</x:f>
        <x:v>0</x:v>
      </x:c>
      <x:c r="K164" s="92" t="str">
        <x:f t="shared" ref="K164:K195" si="27">IF(H164="","",H164*J164)</x:f>
      </x:c>
      <x:c r="L164" s="92" t="str">
        <x:f t="shared" ref="L164:L195" si="28">IF(H164="","",H164-K164)</x:f>
      </x:c>
      <x:c r="M164" s="70"/>
      <x:c r="N164" s="72"/>
      <x:c r="O164" s="64"/>
      <x:c r="P164" s="96" t="str">
        <x:f>IF(A164="","",COUNTIFS(Atendimentos!$B$4:$B$403,A164,Atendimentos!$H$4:$H$403,"Realizado"))</x:f>
      </x:c>
      <x:c r="Q164" s="96" t="str">
        <x:f t="shared" ref="Q164:Q195" si="29">IF(F164="","",MAX(F164-P164,0))</x:f>
      </x:c>
    </x:row>
    <x:row r="165" ht="20" customHeight="1">
      <x:c r="A165" s="96" t="str">
        <x:f t="shared" si="25"/>
      </x:c>
      <x:c r="B165" s="64"/>
      <x:c r="C165" s="96" t="str">
        <x:f>IF(B165="","",IFERROR(INDEX(Pacientes!$A$4:$A$203,MATCH(B165,Pacientes!$B$4:$B$203,0)),""))</x:f>
      </x:c>
      <x:c r="D165" s="72"/>
      <x:c r="E165" s="64"/>
      <x:c r="F165" s="70"/>
      <x:c r="G165" s="92" t="str">
        <x:f>IF(E165="","",IF(E165="Consulta Avulsa",Configuracoes!$B$4,IF(E165="Plano Quinzenal",Configuracoes!$B$5,IF(E165="Plano Semanal",Configuracoes!$B$6,""))))</x:f>
      </x:c>
      <x:c r="H165" s="92" t="str">
        <x:f t="shared" si="26"/>
      </x:c>
      <x:c r="I165" s="64"/>
      <x:c r="J165" s="94" t="n">
        <x:f>IF(I165="PIX",Configuracoes!$E$4,0)</x:f>
        <x:v>0</x:v>
      </x:c>
      <x:c r="K165" s="92" t="str">
        <x:f t="shared" si="27"/>
      </x:c>
      <x:c r="L165" s="92" t="str">
        <x:f t="shared" si="28"/>
      </x:c>
      <x:c r="M165" s="70"/>
      <x:c r="N165" s="72"/>
      <x:c r="O165" s="64"/>
      <x:c r="P165" s="96" t="str">
        <x:f>IF(A165="","",COUNTIFS(Atendimentos!$B$4:$B$403,A165,Atendimentos!$H$4:$H$403,"Realizado"))</x:f>
      </x:c>
      <x:c r="Q165" s="96" t="str">
        <x:f t="shared" si="29"/>
      </x:c>
    </x:row>
    <x:row r="166" ht="20" customHeight="1">
      <x:c r="A166" s="96" t="str">
        <x:f t="shared" si="25"/>
      </x:c>
      <x:c r="B166" s="64"/>
      <x:c r="C166" s="96" t="str">
        <x:f>IF(B166="","",IFERROR(INDEX(Pacientes!$A$4:$A$203,MATCH(B166,Pacientes!$B$4:$B$203,0)),""))</x:f>
      </x:c>
      <x:c r="D166" s="72"/>
      <x:c r="E166" s="64"/>
      <x:c r="F166" s="70"/>
      <x:c r="G166" s="92" t="str">
        <x:f>IF(E166="","",IF(E166="Consulta Avulsa",Configuracoes!$B$4,IF(E166="Plano Quinzenal",Configuracoes!$B$5,IF(E166="Plano Semanal",Configuracoes!$B$6,""))))</x:f>
      </x:c>
      <x:c r="H166" s="92" t="str">
        <x:f t="shared" si="26"/>
      </x:c>
      <x:c r="I166" s="64"/>
      <x:c r="J166" s="94" t="n">
        <x:f>IF(I166="PIX",Configuracoes!$E$4,0)</x:f>
        <x:v>0</x:v>
      </x:c>
      <x:c r="K166" s="92" t="str">
        <x:f t="shared" si="27"/>
      </x:c>
      <x:c r="L166" s="92" t="str">
        <x:f t="shared" si="28"/>
      </x:c>
      <x:c r="M166" s="70"/>
      <x:c r="N166" s="72"/>
      <x:c r="O166" s="64"/>
      <x:c r="P166" s="96" t="str">
        <x:f>IF(A166="","",COUNTIFS(Atendimentos!$B$4:$B$403,A166,Atendimentos!$H$4:$H$403,"Realizado"))</x:f>
      </x:c>
      <x:c r="Q166" s="96" t="str">
        <x:f t="shared" si="29"/>
      </x:c>
    </x:row>
    <x:row r="167" ht="20" customHeight="1">
      <x:c r="A167" s="96" t="str">
        <x:f t="shared" si="25"/>
      </x:c>
      <x:c r="B167" s="64"/>
      <x:c r="C167" s="96" t="str">
        <x:f>IF(B167="","",IFERROR(INDEX(Pacientes!$A$4:$A$203,MATCH(B167,Pacientes!$B$4:$B$203,0)),""))</x:f>
      </x:c>
      <x:c r="D167" s="72"/>
      <x:c r="E167" s="64"/>
      <x:c r="F167" s="70"/>
      <x:c r="G167" s="92" t="str">
        <x:f>IF(E167="","",IF(E167="Consulta Avulsa",Configuracoes!$B$4,IF(E167="Plano Quinzenal",Configuracoes!$B$5,IF(E167="Plano Semanal",Configuracoes!$B$6,""))))</x:f>
      </x:c>
      <x:c r="H167" s="92" t="str">
        <x:f t="shared" si="26"/>
      </x:c>
      <x:c r="I167" s="64"/>
      <x:c r="J167" s="94" t="n">
        <x:f>IF(I167="PIX",Configuracoes!$E$4,0)</x:f>
        <x:v>0</x:v>
      </x:c>
      <x:c r="K167" s="92" t="str">
        <x:f t="shared" si="27"/>
      </x:c>
      <x:c r="L167" s="92" t="str">
        <x:f t="shared" si="28"/>
      </x:c>
      <x:c r="M167" s="70"/>
      <x:c r="N167" s="72"/>
      <x:c r="O167" s="64"/>
      <x:c r="P167" s="96" t="str">
        <x:f>IF(A167="","",COUNTIFS(Atendimentos!$B$4:$B$403,A167,Atendimentos!$H$4:$H$403,"Realizado"))</x:f>
      </x:c>
      <x:c r="Q167" s="96" t="str">
        <x:f t="shared" si="29"/>
      </x:c>
    </x:row>
    <x:row r="168" ht="20" customHeight="1">
      <x:c r="A168" s="96" t="str">
        <x:f t="shared" si="25"/>
      </x:c>
      <x:c r="B168" s="64"/>
      <x:c r="C168" s="96" t="str">
        <x:f>IF(B168="","",IFERROR(INDEX(Pacientes!$A$4:$A$203,MATCH(B168,Pacientes!$B$4:$B$203,0)),""))</x:f>
      </x:c>
      <x:c r="D168" s="72"/>
      <x:c r="E168" s="64"/>
      <x:c r="F168" s="70"/>
      <x:c r="G168" s="92" t="str">
        <x:f>IF(E168="","",IF(E168="Consulta Avulsa",Configuracoes!$B$4,IF(E168="Plano Quinzenal",Configuracoes!$B$5,IF(E168="Plano Semanal",Configuracoes!$B$6,""))))</x:f>
      </x:c>
      <x:c r="H168" s="92" t="str">
        <x:f t="shared" si="26"/>
      </x:c>
      <x:c r="I168" s="64"/>
      <x:c r="J168" s="94" t="n">
        <x:f>IF(I168="PIX",Configuracoes!$E$4,0)</x:f>
        <x:v>0</x:v>
      </x:c>
      <x:c r="K168" s="92" t="str">
        <x:f t="shared" si="27"/>
      </x:c>
      <x:c r="L168" s="92" t="str">
        <x:f t="shared" si="28"/>
      </x:c>
      <x:c r="M168" s="70"/>
      <x:c r="N168" s="72"/>
      <x:c r="O168" s="64"/>
      <x:c r="P168" s="96" t="str">
        <x:f>IF(A168="","",COUNTIFS(Atendimentos!$B$4:$B$403,A168,Atendimentos!$H$4:$H$403,"Realizado"))</x:f>
      </x:c>
      <x:c r="Q168" s="96" t="str">
        <x:f t="shared" si="29"/>
      </x:c>
    </x:row>
    <x:row r="169" ht="20" customHeight="1">
      <x:c r="A169" s="96" t="str">
        <x:f t="shared" si="25"/>
      </x:c>
      <x:c r="B169" s="64"/>
      <x:c r="C169" s="96" t="str">
        <x:f>IF(B169="","",IFERROR(INDEX(Pacientes!$A$4:$A$203,MATCH(B169,Pacientes!$B$4:$B$203,0)),""))</x:f>
      </x:c>
      <x:c r="D169" s="72"/>
      <x:c r="E169" s="64"/>
      <x:c r="F169" s="70"/>
      <x:c r="G169" s="92" t="str">
        <x:f>IF(E169="","",IF(E169="Consulta Avulsa",Configuracoes!$B$4,IF(E169="Plano Quinzenal",Configuracoes!$B$5,IF(E169="Plano Semanal",Configuracoes!$B$6,""))))</x:f>
      </x:c>
      <x:c r="H169" s="92" t="str">
        <x:f t="shared" si="26"/>
      </x:c>
      <x:c r="I169" s="64"/>
      <x:c r="J169" s="94" t="n">
        <x:f>IF(I169="PIX",Configuracoes!$E$4,0)</x:f>
        <x:v>0</x:v>
      </x:c>
      <x:c r="K169" s="92" t="str">
        <x:f t="shared" si="27"/>
      </x:c>
      <x:c r="L169" s="92" t="str">
        <x:f t="shared" si="28"/>
      </x:c>
      <x:c r="M169" s="70"/>
      <x:c r="N169" s="72"/>
      <x:c r="O169" s="64"/>
      <x:c r="P169" s="96" t="str">
        <x:f>IF(A169="","",COUNTIFS(Atendimentos!$B$4:$B$403,A169,Atendimentos!$H$4:$H$403,"Realizado"))</x:f>
      </x:c>
      <x:c r="Q169" s="96" t="str">
        <x:f t="shared" si="29"/>
      </x:c>
    </x:row>
    <x:row r="170" ht="20" customHeight="1">
      <x:c r="A170" s="96" t="str">
        <x:f t="shared" si="25"/>
      </x:c>
      <x:c r="B170" s="64"/>
      <x:c r="C170" s="96" t="str">
        <x:f>IF(B170="","",IFERROR(INDEX(Pacientes!$A$4:$A$203,MATCH(B170,Pacientes!$B$4:$B$203,0)),""))</x:f>
      </x:c>
      <x:c r="D170" s="72"/>
      <x:c r="E170" s="64"/>
      <x:c r="F170" s="70"/>
      <x:c r="G170" s="92" t="str">
        <x:f>IF(E170="","",IF(E170="Consulta Avulsa",Configuracoes!$B$4,IF(E170="Plano Quinzenal",Configuracoes!$B$5,IF(E170="Plano Semanal",Configuracoes!$B$6,""))))</x:f>
      </x:c>
      <x:c r="H170" s="92" t="str">
        <x:f t="shared" si="26"/>
      </x:c>
      <x:c r="I170" s="64"/>
      <x:c r="J170" s="94" t="n">
        <x:f>IF(I170="PIX",Configuracoes!$E$4,0)</x:f>
        <x:v>0</x:v>
      </x:c>
      <x:c r="K170" s="92" t="str">
        <x:f t="shared" si="27"/>
      </x:c>
      <x:c r="L170" s="92" t="str">
        <x:f t="shared" si="28"/>
      </x:c>
      <x:c r="M170" s="70"/>
      <x:c r="N170" s="72"/>
      <x:c r="O170" s="64"/>
      <x:c r="P170" s="96" t="str">
        <x:f>IF(A170="","",COUNTIFS(Atendimentos!$B$4:$B$403,A170,Atendimentos!$H$4:$H$403,"Realizado"))</x:f>
      </x:c>
      <x:c r="Q170" s="96" t="str">
        <x:f t="shared" si="29"/>
      </x:c>
    </x:row>
    <x:row r="171" ht="20" customHeight="1">
      <x:c r="A171" s="96" t="str">
        <x:f t="shared" si="25"/>
      </x:c>
      <x:c r="B171" s="64"/>
      <x:c r="C171" s="96" t="str">
        <x:f>IF(B171="","",IFERROR(INDEX(Pacientes!$A$4:$A$203,MATCH(B171,Pacientes!$B$4:$B$203,0)),""))</x:f>
      </x:c>
      <x:c r="D171" s="72"/>
      <x:c r="E171" s="64"/>
      <x:c r="F171" s="70"/>
      <x:c r="G171" s="92" t="str">
        <x:f>IF(E171="","",IF(E171="Consulta Avulsa",Configuracoes!$B$4,IF(E171="Plano Quinzenal",Configuracoes!$B$5,IF(E171="Plano Semanal",Configuracoes!$B$6,""))))</x:f>
      </x:c>
      <x:c r="H171" s="92" t="str">
        <x:f t="shared" si="26"/>
      </x:c>
      <x:c r="I171" s="64"/>
      <x:c r="J171" s="94" t="n">
        <x:f>IF(I171="PIX",Configuracoes!$E$4,0)</x:f>
        <x:v>0</x:v>
      </x:c>
      <x:c r="K171" s="92" t="str">
        <x:f t="shared" si="27"/>
      </x:c>
      <x:c r="L171" s="92" t="str">
        <x:f t="shared" si="28"/>
      </x:c>
      <x:c r="M171" s="70"/>
      <x:c r="N171" s="72"/>
      <x:c r="O171" s="64"/>
      <x:c r="P171" s="96" t="str">
        <x:f>IF(A171="","",COUNTIFS(Atendimentos!$B$4:$B$403,A171,Atendimentos!$H$4:$H$403,"Realizado"))</x:f>
      </x:c>
      <x:c r="Q171" s="96" t="str">
        <x:f t="shared" si="29"/>
      </x:c>
    </x:row>
    <x:row r="172" ht="20" customHeight="1">
      <x:c r="A172" s="96" t="str">
        <x:f t="shared" si="25"/>
      </x:c>
      <x:c r="B172" s="64"/>
      <x:c r="C172" s="96" t="str">
        <x:f>IF(B172="","",IFERROR(INDEX(Pacientes!$A$4:$A$203,MATCH(B172,Pacientes!$B$4:$B$203,0)),""))</x:f>
      </x:c>
      <x:c r="D172" s="72"/>
      <x:c r="E172" s="64"/>
      <x:c r="F172" s="70"/>
      <x:c r="G172" s="92" t="str">
        <x:f>IF(E172="","",IF(E172="Consulta Avulsa",Configuracoes!$B$4,IF(E172="Plano Quinzenal",Configuracoes!$B$5,IF(E172="Plano Semanal",Configuracoes!$B$6,""))))</x:f>
      </x:c>
      <x:c r="H172" s="92" t="str">
        <x:f t="shared" si="26"/>
      </x:c>
      <x:c r="I172" s="64"/>
      <x:c r="J172" s="94" t="n">
        <x:f>IF(I172="PIX",Configuracoes!$E$4,0)</x:f>
        <x:v>0</x:v>
      </x:c>
      <x:c r="K172" s="92" t="str">
        <x:f t="shared" si="27"/>
      </x:c>
      <x:c r="L172" s="92" t="str">
        <x:f t="shared" si="28"/>
      </x:c>
      <x:c r="M172" s="70"/>
      <x:c r="N172" s="72"/>
      <x:c r="O172" s="64"/>
      <x:c r="P172" s="96" t="str">
        <x:f>IF(A172="","",COUNTIFS(Atendimentos!$B$4:$B$403,A172,Atendimentos!$H$4:$H$403,"Realizado"))</x:f>
      </x:c>
      <x:c r="Q172" s="96" t="str">
        <x:f t="shared" si="29"/>
      </x:c>
    </x:row>
    <x:row r="173" ht="20" customHeight="1">
      <x:c r="A173" s="96" t="str">
        <x:f t="shared" si="25"/>
      </x:c>
      <x:c r="B173" s="64"/>
      <x:c r="C173" s="96" t="str">
        <x:f>IF(B173="","",IFERROR(INDEX(Pacientes!$A$4:$A$203,MATCH(B173,Pacientes!$B$4:$B$203,0)),""))</x:f>
      </x:c>
      <x:c r="D173" s="72"/>
      <x:c r="E173" s="64"/>
      <x:c r="F173" s="70"/>
      <x:c r="G173" s="92" t="str">
        <x:f>IF(E173="","",IF(E173="Consulta Avulsa",Configuracoes!$B$4,IF(E173="Plano Quinzenal",Configuracoes!$B$5,IF(E173="Plano Semanal",Configuracoes!$B$6,""))))</x:f>
      </x:c>
      <x:c r="H173" s="92" t="str">
        <x:f t="shared" si="26"/>
      </x:c>
      <x:c r="I173" s="64"/>
      <x:c r="J173" s="94" t="n">
        <x:f>IF(I173="PIX",Configuracoes!$E$4,0)</x:f>
        <x:v>0</x:v>
      </x:c>
      <x:c r="K173" s="92" t="str">
        <x:f t="shared" si="27"/>
      </x:c>
      <x:c r="L173" s="92" t="str">
        <x:f t="shared" si="28"/>
      </x:c>
      <x:c r="M173" s="70"/>
      <x:c r="N173" s="72"/>
      <x:c r="O173" s="64"/>
      <x:c r="P173" s="96" t="str">
        <x:f>IF(A173="","",COUNTIFS(Atendimentos!$B$4:$B$403,A173,Atendimentos!$H$4:$H$403,"Realizado"))</x:f>
      </x:c>
      <x:c r="Q173" s="96" t="str">
        <x:f t="shared" si="29"/>
      </x:c>
    </x:row>
    <x:row r="174" ht="20" customHeight="1">
      <x:c r="A174" s="96" t="str">
        <x:f t="shared" si="25"/>
      </x:c>
      <x:c r="B174" s="64"/>
      <x:c r="C174" s="96" t="str">
        <x:f>IF(B174="","",IFERROR(INDEX(Pacientes!$A$4:$A$203,MATCH(B174,Pacientes!$B$4:$B$203,0)),""))</x:f>
      </x:c>
      <x:c r="D174" s="72"/>
      <x:c r="E174" s="64"/>
      <x:c r="F174" s="70"/>
      <x:c r="G174" s="92" t="str">
        <x:f>IF(E174="","",IF(E174="Consulta Avulsa",Configuracoes!$B$4,IF(E174="Plano Quinzenal",Configuracoes!$B$5,IF(E174="Plano Semanal",Configuracoes!$B$6,""))))</x:f>
      </x:c>
      <x:c r="H174" s="92" t="str">
        <x:f t="shared" si="26"/>
      </x:c>
      <x:c r="I174" s="64"/>
      <x:c r="J174" s="94" t="n">
        <x:f>IF(I174="PIX",Configuracoes!$E$4,0)</x:f>
        <x:v>0</x:v>
      </x:c>
      <x:c r="K174" s="92" t="str">
        <x:f t="shared" si="27"/>
      </x:c>
      <x:c r="L174" s="92" t="str">
        <x:f t="shared" si="28"/>
      </x:c>
      <x:c r="M174" s="70"/>
      <x:c r="N174" s="72"/>
      <x:c r="O174" s="64"/>
      <x:c r="P174" s="96" t="str">
        <x:f>IF(A174="","",COUNTIFS(Atendimentos!$B$4:$B$403,A174,Atendimentos!$H$4:$H$403,"Realizado"))</x:f>
      </x:c>
      <x:c r="Q174" s="96" t="str">
        <x:f t="shared" si="29"/>
      </x:c>
    </x:row>
    <x:row r="175" ht="20" customHeight="1">
      <x:c r="A175" s="96" t="str">
        <x:f t="shared" si="25"/>
      </x:c>
      <x:c r="B175" s="64"/>
      <x:c r="C175" s="96" t="str">
        <x:f>IF(B175="","",IFERROR(INDEX(Pacientes!$A$4:$A$203,MATCH(B175,Pacientes!$B$4:$B$203,0)),""))</x:f>
      </x:c>
      <x:c r="D175" s="72"/>
      <x:c r="E175" s="64"/>
      <x:c r="F175" s="70"/>
      <x:c r="G175" s="92" t="str">
        <x:f>IF(E175="","",IF(E175="Consulta Avulsa",Configuracoes!$B$4,IF(E175="Plano Quinzenal",Configuracoes!$B$5,IF(E175="Plano Semanal",Configuracoes!$B$6,""))))</x:f>
      </x:c>
      <x:c r="H175" s="92" t="str">
        <x:f t="shared" si="26"/>
      </x:c>
      <x:c r="I175" s="64"/>
      <x:c r="J175" s="94" t="n">
        <x:f>IF(I175="PIX",Configuracoes!$E$4,0)</x:f>
        <x:v>0</x:v>
      </x:c>
      <x:c r="K175" s="92" t="str">
        <x:f t="shared" si="27"/>
      </x:c>
      <x:c r="L175" s="92" t="str">
        <x:f t="shared" si="28"/>
      </x:c>
      <x:c r="M175" s="70"/>
      <x:c r="N175" s="72"/>
      <x:c r="O175" s="64"/>
      <x:c r="P175" s="96" t="str">
        <x:f>IF(A175="","",COUNTIFS(Atendimentos!$B$4:$B$403,A175,Atendimentos!$H$4:$H$403,"Realizado"))</x:f>
      </x:c>
      <x:c r="Q175" s="96" t="str">
        <x:f t="shared" si="29"/>
      </x:c>
    </x:row>
    <x:row r="176" ht="20" customHeight="1">
      <x:c r="A176" s="96" t="str">
        <x:f t="shared" si="25"/>
      </x:c>
      <x:c r="B176" s="64"/>
      <x:c r="C176" s="96" t="str">
        <x:f>IF(B176="","",IFERROR(INDEX(Pacientes!$A$4:$A$203,MATCH(B176,Pacientes!$B$4:$B$203,0)),""))</x:f>
      </x:c>
      <x:c r="D176" s="72"/>
      <x:c r="E176" s="64"/>
      <x:c r="F176" s="70"/>
      <x:c r="G176" s="92" t="str">
        <x:f>IF(E176="","",IF(E176="Consulta Avulsa",Configuracoes!$B$4,IF(E176="Plano Quinzenal",Configuracoes!$B$5,IF(E176="Plano Semanal",Configuracoes!$B$6,""))))</x:f>
      </x:c>
      <x:c r="H176" s="92" t="str">
        <x:f t="shared" si="26"/>
      </x:c>
      <x:c r="I176" s="64"/>
      <x:c r="J176" s="94" t="n">
        <x:f>IF(I176="PIX",Configuracoes!$E$4,0)</x:f>
        <x:v>0</x:v>
      </x:c>
      <x:c r="K176" s="92" t="str">
        <x:f t="shared" si="27"/>
      </x:c>
      <x:c r="L176" s="92" t="str">
        <x:f t="shared" si="28"/>
      </x:c>
      <x:c r="M176" s="70"/>
      <x:c r="N176" s="72"/>
      <x:c r="O176" s="64"/>
      <x:c r="P176" s="96" t="str">
        <x:f>IF(A176="","",COUNTIFS(Atendimentos!$B$4:$B$403,A176,Atendimentos!$H$4:$H$403,"Realizado"))</x:f>
      </x:c>
      <x:c r="Q176" s="96" t="str">
        <x:f t="shared" si="29"/>
      </x:c>
    </x:row>
    <x:row r="177" ht="20" customHeight="1">
      <x:c r="A177" s="96" t="str">
        <x:f t="shared" si="25"/>
      </x:c>
      <x:c r="B177" s="64"/>
      <x:c r="C177" s="96" t="str">
        <x:f>IF(B177="","",IFERROR(INDEX(Pacientes!$A$4:$A$203,MATCH(B177,Pacientes!$B$4:$B$203,0)),""))</x:f>
      </x:c>
      <x:c r="D177" s="72"/>
      <x:c r="E177" s="64"/>
      <x:c r="F177" s="70"/>
      <x:c r="G177" s="92" t="str">
        <x:f>IF(E177="","",IF(E177="Consulta Avulsa",Configuracoes!$B$4,IF(E177="Plano Quinzenal",Configuracoes!$B$5,IF(E177="Plano Semanal",Configuracoes!$B$6,""))))</x:f>
      </x:c>
      <x:c r="H177" s="92" t="str">
        <x:f t="shared" si="26"/>
      </x:c>
      <x:c r="I177" s="64"/>
      <x:c r="J177" s="94" t="n">
        <x:f>IF(I177="PIX",Configuracoes!$E$4,0)</x:f>
        <x:v>0</x:v>
      </x:c>
      <x:c r="K177" s="92" t="str">
        <x:f t="shared" si="27"/>
      </x:c>
      <x:c r="L177" s="92" t="str">
        <x:f t="shared" si="28"/>
      </x:c>
      <x:c r="M177" s="70"/>
      <x:c r="N177" s="72"/>
      <x:c r="O177" s="64"/>
      <x:c r="P177" s="96" t="str">
        <x:f>IF(A177="","",COUNTIFS(Atendimentos!$B$4:$B$403,A177,Atendimentos!$H$4:$H$403,"Realizado"))</x:f>
      </x:c>
      <x:c r="Q177" s="96" t="str">
        <x:f t="shared" si="29"/>
      </x:c>
    </x:row>
    <x:row r="178" ht="20" customHeight="1">
      <x:c r="A178" s="96" t="str">
        <x:f t="shared" si="25"/>
      </x:c>
      <x:c r="B178" s="64"/>
      <x:c r="C178" s="96" t="str">
        <x:f>IF(B178="","",IFERROR(INDEX(Pacientes!$A$4:$A$203,MATCH(B178,Pacientes!$B$4:$B$203,0)),""))</x:f>
      </x:c>
      <x:c r="D178" s="72"/>
      <x:c r="E178" s="64"/>
      <x:c r="F178" s="70"/>
      <x:c r="G178" s="92" t="str">
        <x:f>IF(E178="","",IF(E178="Consulta Avulsa",Configuracoes!$B$4,IF(E178="Plano Quinzenal",Configuracoes!$B$5,IF(E178="Plano Semanal",Configuracoes!$B$6,""))))</x:f>
      </x:c>
      <x:c r="H178" s="92" t="str">
        <x:f t="shared" si="26"/>
      </x:c>
      <x:c r="I178" s="64"/>
      <x:c r="J178" s="94" t="n">
        <x:f>IF(I178="PIX",Configuracoes!$E$4,0)</x:f>
        <x:v>0</x:v>
      </x:c>
      <x:c r="K178" s="92" t="str">
        <x:f t="shared" si="27"/>
      </x:c>
      <x:c r="L178" s="92" t="str">
        <x:f t="shared" si="28"/>
      </x:c>
      <x:c r="M178" s="70"/>
      <x:c r="N178" s="72"/>
      <x:c r="O178" s="64"/>
      <x:c r="P178" s="96" t="str">
        <x:f>IF(A178="","",COUNTIFS(Atendimentos!$B$4:$B$403,A178,Atendimentos!$H$4:$H$403,"Realizado"))</x:f>
      </x:c>
      <x:c r="Q178" s="96" t="str">
        <x:f t="shared" si="29"/>
      </x:c>
    </x:row>
    <x:row r="179" ht="20" customHeight="1">
      <x:c r="A179" s="96" t="str">
        <x:f t="shared" si="25"/>
      </x:c>
      <x:c r="B179" s="64"/>
      <x:c r="C179" s="96" t="str">
        <x:f>IF(B179="","",IFERROR(INDEX(Pacientes!$A$4:$A$203,MATCH(B179,Pacientes!$B$4:$B$203,0)),""))</x:f>
      </x:c>
      <x:c r="D179" s="72"/>
      <x:c r="E179" s="64"/>
      <x:c r="F179" s="70"/>
      <x:c r="G179" s="92" t="str">
        <x:f>IF(E179="","",IF(E179="Consulta Avulsa",Configuracoes!$B$4,IF(E179="Plano Quinzenal",Configuracoes!$B$5,IF(E179="Plano Semanal",Configuracoes!$B$6,""))))</x:f>
      </x:c>
      <x:c r="H179" s="92" t="str">
        <x:f t="shared" si="26"/>
      </x:c>
      <x:c r="I179" s="64"/>
      <x:c r="J179" s="94" t="n">
        <x:f>IF(I179="PIX",Configuracoes!$E$4,0)</x:f>
        <x:v>0</x:v>
      </x:c>
      <x:c r="K179" s="92" t="str">
        <x:f t="shared" si="27"/>
      </x:c>
      <x:c r="L179" s="92" t="str">
        <x:f t="shared" si="28"/>
      </x:c>
      <x:c r="M179" s="70"/>
      <x:c r="N179" s="72"/>
      <x:c r="O179" s="64"/>
      <x:c r="P179" s="96" t="str">
        <x:f>IF(A179="","",COUNTIFS(Atendimentos!$B$4:$B$403,A179,Atendimentos!$H$4:$H$403,"Realizado"))</x:f>
      </x:c>
      <x:c r="Q179" s="96" t="str">
        <x:f t="shared" si="29"/>
      </x:c>
    </x:row>
    <x:row r="180" ht="20" customHeight="1">
      <x:c r="A180" s="96" t="str">
        <x:f t="shared" si="25"/>
      </x:c>
      <x:c r="B180" s="64"/>
      <x:c r="C180" s="96" t="str">
        <x:f>IF(B180="","",IFERROR(INDEX(Pacientes!$A$4:$A$203,MATCH(B180,Pacientes!$B$4:$B$203,0)),""))</x:f>
      </x:c>
      <x:c r="D180" s="72"/>
      <x:c r="E180" s="64"/>
      <x:c r="F180" s="70"/>
      <x:c r="G180" s="92" t="str">
        <x:f>IF(E180="","",IF(E180="Consulta Avulsa",Configuracoes!$B$4,IF(E180="Plano Quinzenal",Configuracoes!$B$5,IF(E180="Plano Semanal",Configuracoes!$B$6,""))))</x:f>
      </x:c>
      <x:c r="H180" s="92" t="str">
        <x:f t="shared" si="26"/>
      </x:c>
      <x:c r="I180" s="64"/>
      <x:c r="J180" s="94" t="n">
        <x:f>IF(I180="PIX",Configuracoes!$E$4,0)</x:f>
        <x:v>0</x:v>
      </x:c>
      <x:c r="K180" s="92" t="str">
        <x:f t="shared" si="27"/>
      </x:c>
      <x:c r="L180" s="92" t="str">
        <x:f t="shared" si="28"/>
      </x:c>
      <x:c r="M180" s="70"/>
      <x:c r="N180" s="72"/>
      <x:c r="O180" s="64"/>
      <x:c r="P180" s="96" t="str">
        <x:f>IF(A180="","",COUNTIFS(Atendimentos!$B$4:$B$403,A180,Atendimentos!$H$4:$H$403,"Realizado"))</x:f>
      </x:c>
      <x:c r="Q180" s="96" t="str">
        <x:f t="shared" si="29"/>
      </x:c>
    </x:row>
    <x:row r="181" ht="20" customHeight="1">
      <x:c r="A181" s="96" t="str">
        <x:f t="shared" si="25"/>
      </x:c>
      <x:c r="B181" s="64"/>
      <x:c r="C181" s="96" t="str">
        <x:f>IF(B181="","",IFERROR(INDEX(Pacientes!$A$4:$A$203,MATCH(B181,Pacientes!$B$4:$B$203,0)),""))</x:f>
      </x:c>
      <x:c r="D181" s="72"/>
      <x:c r="E181" s="64"/>
      <x:c r="F181" s="70"/>
      <x:c r="G181" s="92" t="str">
        <x:f>IF(E181="","",IF(E181="Consulta Avulsa",Configuracoes!$B$4,IF(E181="Plano Quinzenal",Configuracoes!$B$5,IF(E181="Plano Semanal",Configuracoes!$B$6,""))))</x:f>
      </x:c>
      <x:c r="H181" s="92" t="str">
        <x:f t="shared" si="26"/>
      </x:c>
      <x:c r="I181" s="64"/>
      <x:c r="J181" s="94" t="n">
        <x:f>IF(I181="PIX",Configuracoes!$E$4,0)</x:f>
        <x:v>0</x:v>
      </x:c>
      <x:c r="K181" s="92" t="str">
        <x:f t="shared" si="27"/>
      </x:c>
      <x:c r="L181" s="92" t="str">
        <x:f t="shared" si="28"/>
      </x:c>
      <x:c r="M181" s="70"/>
      <x:c r="N181" s="72"/>
      <x:c r="O181" s="64"/>
      <x:c r="P181" s="96" t="str">
        <x:f>IF(A181="","",COUNTIFS(Atendimentos!$B$4:$B$403,A181,Atendimentos!$H$4:$H$403,"Realizado"))</x:f>
      </x:c>
      <x:c r="Q181" s="96" t="str">
        <x:f t="shared" si="29"/>
      </x:c>
    </x:row>
    <x:row r="182" ht="20" customHeight="1">
      <x:c r="A182" s="96" t="str">
        <x:f t="shared" si="25"/>
      </x:c>
      <x:c r="B182" s="64"/>
      <x:c r="C182" s="96" t="str">
        <x:f>IF(B182="","",IFERROR(INDEX(Pacientes!$A$4:$A$203,MATCH(B182,Pacientes!$B$4:$B$203,0)),""))</x:f>
      </x:c>
      <x:c r="D182" s="72"/>
      <x:c r="E182" s="64"/>
      <x:c r="F182" s="70"/>
      <x:c r="G182" s="92" t="str">
        <x:f>IF(E182="","",IF(E182="Consulta Avulsa",Configuracoes!$B$4,IF(E182="Plano Quinzenal",Configuracoes!$B$5,IF(E182="Plano Semanal",Configuracoes!$B$6,""))))</x:f>
      </x:c>
      <x:c r="H182" s="92" t="str">
        <x:f t="shared" si="26"/>
      </x:c>
      <x:c r="I182" s="64"/>
      <x:c r="J182" s="94" t="n">
        <x:f>IF(I182="PIX",Configuracoes!$E$4,0)</x:f>
        <x:v>0</x:v>
      </x:c>
      <x:c r="K182" s="92" t="str">
        <x:f t="shared" si="27"/>
      </x:c>
      <x:c r="L182" s="92" t="str">
        <x:f t="shared" si="28"/>
      </x:c>
      <x:c r="M182" s="70"/>
      <x:c r="N182" s="72"/>
      <x:c r="O182" s="64"/>
      <x:c r="P182" s="96" t="str">
        <x:f>IF(A182="","",COUNTIFS(Atendimentos!$B$4:$B$403,A182,Atendimentos!$H$4:$H$403,"Realizado"))</x:f>
      </x:c>
      <x:c r="Q182" s="96" t="str">
        <x:f t="shared" si="29"/>
      </x:c>
    </x:row>
    <x:row r="183" ht="20" customHeight="1">
      <x:c r="A183" s="96" t="str">
        <x:f t="shared" si="25"/>
      </x:c>
      <x:c r="B183" s="64"/>
      <x:c r="C183" s="96" t="str">
        <x:f>IF(B183="","",IFERROR(INDEX(Pacientes!$A$4:$A$203,MATCH(B183,Pacientes!$B$4:$B$203,0)),""))</x:f>
      </x:c>
      <x:c r="D183" s="72"/>
      <x:c r="E183" s="64"/>
      <x:c r="F183" s="70"/>
      <x:c r="G183" s="92" t="str">
        <x:f>IF(E183="","",IF(E183="Consulta Avulsa",Configuracoes!$B$4,IF(E183="Plano Quinzenal",Configuracoes!$B$5,IF(E183="Plano Semanal",Configuracoes!$B$6,""))))</x:f>
      </x:c>
      <x:c r="H183" s="92" t="str">
        <x:f t="shared" si="26"/>
      </x:c>
      <x:c r="I183" s="64"/>
      <x:c r="J183" s="94" t="n">
        <x:f>IF(I183="PIX",Configuracoes!$E$4,0)</x:f>
        <x:v>0</x:v>
      </x:c>
      <x:c r="K183" s="92" t="str">
        <x:f t="shared" si="27"/>
      </x:c>
      <x:c r="L183" s="92" t="str">
        <x:f t="shared" si="28"/>
      </x:c>
      <x:c r="M183" s="70"/>
      <x:c r="N183" s="72"/>
      <x:c r="O183" s="64"/>
      <x:c r="P183" s="96" t="str">
        <x:f>IF(A183="","",COUNTIFS(Atendimentos!$B$4:$B$403,A183,Atendimentos!$H$4:$H$403,"Realizado"))</x:f>
      </x:c>
      <x:c r="Q183" s="96" t="str">
        <x:f t="shared" si="29"/>
      </x:c>
    </x:row>
    <x:row r="184" ht="20" customHeight="1">
      <x:c r="A184" s="96" t="str">
        <x:f t="shared" si="25"/>
      </x:c>
      <x:c r="B184" s="64"/>
      <x:c r="C184" s="96" t="str">
        <x:f>IF(B184="","",IFERROR(INDEX(Pacientes!$A$4:$A$203,MATCH(B184,Pacientes!$B$4:$B$203,0)),""))</x:f>
      </x:c>
      <x:c r="D184" s="72"/>
      <x:c r="E184" s="64"/>
      <x:c r="F184" s="70"/>
      <x:c r="G184" s="92" t="str">
        <x:f>IF(E184="","",IF(E184="Consulta Avulsa",Configuracoes!$B$4,IF(E184="Plano Quinzenal",Configuracoes!$B$5,IF(E184="Plano Semanal",Configuracoes!$B$6,""))))</x:f>
      </x:c>
      <x:c r="H184" s="92" t="str">
        <x:f t="shared" si="26"/>
      </x:c>
      <x:c r="I184" s="64"/>
      <x:c r="J184" s="94" t="n">
        <x:f>IF(I184="PIX",Configuracoes!$E$4,0)</x:f>
        <x:v>0</x:v>
      </x:c>
      <x:c r="K184" s="92" t="str">
        <x:f t="shared" si="27"/>
      </x:c>
      <x:c r="L184" s="92" t="str">
        <x:f t="shared" si="28"/>
      </x:c>
      <x:c r="M184" s="70"/>
      <x:c r="N184" s="72"/>
      <x:c r="O184" s="64"/>
      <x:c r="P184" s="96" t="str">
        <x:f>IF(A184="","",COUNTIFS(Atendimentos!$B$4:$B$403,A184,Atendimentos!$H$4:$H$403,"Realizado"))</x:f>
      </x:c>
      <x:c r="Q184" s="96" t="str">
        <x:f t="shared" si="29"/>
      </x:c>
    </x:row>
    <x:row r="185" ht="20" customHeight="1">
      <x:c r="A185" s="96" t="str">
        <x:f t="shared" si="25"/>
      </x:c>
      <x:c r="B185" s="64"/>
      <x:c r="C185" s="96" t="str">
        <x:f>IF(B185="","",IFERROR(INDEX(Pacientes!$A$4:$A$203,MATCH(B185,Pacientes!$B$4:$B$203,0)),""))</x:f>
      </x:c>
      <x:c r="D185" s="72"/>
      <x:c r="E185" s="64"/>
      <x:c r="F185" s="70"/>
      <x:c r="G185" s="92" t="str">
        <x:f>IF(E185="","",IF(E185="Consulta Avulsa",Configuracoes!$B$4,IF(E185="Plano Quinzenal",Configuracoes!$B$5,IF(E185="Plano Semanal",Configuracoes!$B$6,""))))</x:f>
      </x:c>
      <x:c r="H185" s="92" t="str">
        <x:f t="shared" si="26"/>
      </x:c>
      <x:c r="I185" s="64"/>
      <x:c r="J185" s="94" t="n">
        <x:f>IF(I185="PIX",Configuracoes!$E$4,0)</x:f>
        <x:v>0</x:v>
      </x:c>
      <x:c r="K185" s="92" t="str">
        <x:f t="shared" si="27"/>
      </x:c>
      <x:c r="L185" s="92" t="str">
        <x:f t="shared" si="28"/>
      </x:c>
      <x:c r="M185" s="70"/>
      <x:c r="N185" s="72"/>
      <x:c r="O185" s="64"/>
      <x:c r="P185" s="96" t="str">
        <x:f>IF(A185="","",COUNTIFS(Atendimentos!$B$4:$B$403,A185,Atendimentos!$H$4:$H$403,"Realizado"))</x:f>
      </x:c>
      <x:c r="Q185" s="96" t="str">
        <x:f t="shared" si="29"/>
      </x:c>
    </x:row>
    <x:row r="186" ht="20" customHeight="1">
      <x:c r="A186" s="96" t="str">
        <x:f t="shared" si="25"/>
      </x:c>
      <x:c r="B186" s="64"/>
      <x:c r="C186" s="96" t="str">
        <x:f>IF(B186="","",IFERROR(INDEX(Pacientes!$A$4:$A$203,MATCH(B186,Pacientes!$B$4:$B$203,0)),""))</x:f>
      </x:c>
      <x:c r="D186" s="72"/>
      <x:c r="E186" s="64"/>
      <x:c r="F186" s="70"/>
      <x:c r="G186" s="92" t="str">
        <x:f>IF(E186="","",IF(E186="Consulta Avulsa",Configuracoes!$B$4,IF(E186="Plano Quinzenal",Configuracoes!$B$5,IF(E186="Plano Semanal",Configuracoes!$B$6,""))))</x:f>
      </x:c>
      <x:c r="H186" s="92" t="str">
        <x:f t="shared" si="26"/>
      </x:c>
      <x:c r="I186" s="64"/>
      <x:c r="J186" s="94" t="n">
        <x:f>IF(I186="PIX",Configuracoes!$E$4,0)</x:f>
        <x:v>0</x:v>
      </x:c>
      <x:c r="K186" s="92" t="str">
        <x:f t="shared" si="27"/>
      </x:c>
      <x:c r="L186" s="92" t="str">
        <x:f t="shared" si="28"/>
      </x:c>
      <x:c r="M186" s="70"/>
      <x:c r="N186" s="72"/>
      <x:c r="O186" s="64"/>
      <x:c r="P186" s="96" t="str">
        <x:f>IF(A186="","",COUNTIFS(Atendimentos!$B$4:$B$403,A186,Atendimentos!$H$4:$H$403,"Realizado"))</x:f>
      </x:c>
      <x:c r="Q186" s="96" t="str">
        <x:f t="shared" si="29"/>
      </x:c>
    </x:row>
    <x:row r="187" ht="20" customHeight="1">
      <x:c r="A187" s="96" t="str">
        <x:f t="shared" si="25"/>
      </x:c>
      <x:c r="B187" s="64"/>
      <x:c r="C187" s="96" t="str">
        <x:f>IF(B187="","",IFERROR(INDEX(Pacientes!$A$4:$A$203,MATCH(B187,Pacientes!$B$4:$B$203,0)),""))</x:f>
      </x:c>
      <x:c r="D187" s="72"/>
      <x:c r="E187" s="64"/>
      <x:c r="F187" s="70"/>
      <x:c r="G187" s="92" t="str">
        <x:f>IF(E187="","",IF(E187="Consulta Avulsa",Configuracoes!$B$4,IF(E187="Plano Quinzenal",Configuracoes!$B$5,IF(E187="Plano Semanal",Configuracoes!$B$6,""))))</x:f>
      </x:c>
      <x:c r="H187" s="92" t="str">
        <x:f t="shared" si="26"/>
      </x:c>
      <x:c r="I187" s="64"/>
      <x:c r="J187" s="94" t="n">
        <x:f>IF(I187="PIX",Configuracoes!$E$4,0)</x:f>
        <x:v>0</x:v>
      </x:c>
      <x:c r="K187" s="92" t="str">
        <x:f t="shared" si="27"/>
      </x:c>
      <x:c r="L187" s="92" t="str">
        <x:f t="shared" si="28"/>
      </x:c>
      <x:c r="M187" s="70"/>
      <x:c r="N187" s="72"/>
      <x:c r="O187" s="64"/>
      <x:c r="P187" s="96" t="str">
        <x:f>IF(A187="","",COUNTIFS(Atendimentos!$B$4:$B$403,A187,Atendimentos!$H$4:$H$403,"Realizado"))</x:f>
      </x:c>
      <x:c r="Q187" s="96" t="str">
        <x:f t="shared" si="29"/>
      </x:c>
    </x:row>
    <x:row r="188" ht="20" customHeight="1">
      <x:c r="A188" s="96" t="str">
        <x:f t="shared" si="25"/>
      </x:c>
      <x:c r="B188" s="64"/>
      <x:c r="C188" s="96" t="str">
        <x:f>IF(B188="","",IFERROR(INDEX(Pacientes!$A$4:$A$203,MATCH(B188,Pacientes!$B$4:$B$203,0)),""))</x:f>
      </x:c>
      <x:c r="D188" s="72"/>
      <x:c r="E188" s="64"/>
      <x:c r="F188" s="70"/>
      <x:c r="G188" s="92" t="str">
        <x:f>IF(E188="","",IF(E188="Consulta Avulsa",Configuracoes!$B$4,IF(E188="Plano Quinzenal",Configuracoes!$B$5,IF(E188="Plano Semanal",Configuracoes!$B$6,""))))</x:f>
      </x:c>
      <x:c r="H188" s="92" t="str">
        <x:f t="shared" si="26"/>
      </x:c>
      <x:c r="I188" s="64"/>
      <x:c r="J188" s="94" t="n">
        <x:f>IF(I188="PIX",Configuracoes!$E$4,0)</x:f>
        <x:v>0</x:v>
      </x:c>
      <x:c r="K188" s="92" t="str">
        <x:f t="shared" si="27"/>
      </x:c>
      <x:c r="L188" s="92" t="str">
        <x:f t="shared" si="28"/>
      </x:c>
      <x:c r="M188" s="70"/>
      <x:c r="N188" s="72"/>
      <x:c r="O188" s="64"/>
      <x:c r="P188" s="96" t="str">
        <x:f>IF(A188="","",COUNTIFS(Atendimentos!$B$4:$B$403,A188,Atendimentos!$H$4:$H$403,"Realizado"))</x:f>
      </x:c>
      <x:c r="Q188" s="96" t="str">
        <x:f t="shared" si="29"/>
      </x:c>
    </x:row>
    <x:row r="189" ht="20" customHeight="1">
      <x:c r="A189" s="96" t="str">
        <x:f t="shared" si="25"/>
      </x:c>
      <x:c r="B189" s="64"/>
      <x:c r="C189" s="96" t="str">
        <x:f>IF(B189="","",IFERROR(INDEX(Pacientes!$A$4:$A$203,MATCH(B189,Pacientes!$B$4:$B$203,0)),""))</x:f>
      </x:c>
      <x:c r="D189" s="72"/>
      <x:c r="E189" s="64"/>
      <x:c r="F189" s="70"/>
      <x:c r="G189" s="92" t="str">
        <x:f>IF(E189="","",IF(E189="Consulta Avulsa",Configuracoes!$B$4,IF(E189="Plano Quinzenal",Configuracoes!$B$5,IF(E189="Plano Semanal",Configuracoes!$B$6,""))))</x:f>
      </x:c>
      <x:c r="H189" s="92" t="str">
        <x:f t="shared" si="26"/>
      </x:c>
      <x:c r="I189" s="64"/>
      <x:c r="J189" s="94" t="n">
        <x:f>IF(I189="PIX",Configuracoes!$E$4,0)</x:f>
        <x:v>0</x:v>
      </x:c>
      <x:c r="K189" s="92" t="str">
        <x:f t="shared" si="27"/>
      </x:c>
      <x:c r="L189" s="92" t="str">
        <x:f t="shared" si="28"/>
      </x:c>
      <x:c r="M189" s="70"/>
      <x:c r="N189" s="72"/>
      <x:c r="O189" s="64"/>
      <x:c r="P189" s="96" t="str">
        <x:f>IF(A189="","",COUNTIFS(Atendimentos!$B$4:$B$403,A189,Atendimentos!$H$4:$H$403,"Realizado"))</x:f>
      </x:c>
      <x:c r="Q189" s="96" t="str">
        <x:f t="shared" si="29"/>
      </x:c>
    </x:row>
    <x:row r="190" ht="20" customHeight="1">
      <x:c r="A190" s="96" t="str">
        <x:f t="shared" si="25"/>
      </x:c>
      <x:c r="B190" s="64"/>
      <x:c r="C190" s="96" t="str">
        <x:f>IF(B190="","",IFERROR(INDEX(Pacientes!$A$4:$A$203,MATCH(B190,Pacientes!$B$4:$B$203,0)),""))</x:f>
      </x:c>
      <x:c r="D190" s="72"/>
      <x:c r="E190" s="64"/>
      <x:c r="F190" s="70"/>
      <x:c r="G190" s="92" t="str">
        <x:f>IF(E190="","",IF(E190="Consulta Avulsa",Configuracoes!$B$4,IF(E190="Plano Quinzenal",Configuracoes!$B$5,IF(E190="Plano Semanal",Configuracoes!$B$6,""))))</x:f>
      </x:c>
      <x:c r="H190" s="92" t="str">
        <x:f t="shared" si="26"/>
      </x:c>
      <x:c r="I190" s="64"/>
      <x:c r="J190" s="94" t="n">
        <x:f>IF(I190="PIX",Configuracoes!$E$4,0)</x:f>
        <x:v>0</x:v>
      </x:c>
      <x:c r="K190" s="92" t="str">
        <x:f t="shared" si="27"/>
      </x:c>
      <x:c r="L190" s="92" t="str">
        <x:f t="shared" si="28"/>
      </x:c>
      <x:c r="M190" s="70"/>
      <x:c r="N190" s="72"/>
      <x:c r="O190" s="64"/>
      <x:c r="P190" s="96" t="str">
        <x:f>IF(A190="","",COUNTIFS(Atendimentos!$B$4:$B$403,A190,Atendimentos!$H$4:$H$403,"Realizado"))</x:f>
      </x:c>
      <x:c r="Q190" s="96" t="str">
        <x:f t="shared" si="29"/>
      </x:c>
    </x:row>
    <x:row r="191" ht="20" customHeight="1">
      <x:c r="A191" s="96" t="str">
        <x:f t="shared" si="25"/>
      </x:c>
      <x:c r="B191" s="64"/>
      <x:c r="C191" s="96" t="str">
        <x:f>IF(B191="","",IFERROR(INDEX(Pacientes!$A$4:$A$203,MATCH(B191,Pacientes!$B$4:$B$203,0)),""))</x:f>
      </x:c>
      <x:c r="D191" s="72"/>
      <x:c r="E191" s="64"/>
      <x:c r="F191" s="70"/>
      <x:c r="G191" s="92" t="str">
        <x:f>IF(E191="","",IF(E191="Consulta Avulsa",Configuracoes!$B$4,IF(E191="Plano Quinzenal",Configuracoes!$B$5,IF(E191="Plano Semanal",Configuracoes!$B$6,""))))</x:f>
      </x:c>
      <x:c r="H191" s="92" t="str">
        <x:f t="shared" si="26"/>
      </x:c>
      <x:c r="I191" s="64"/>
      <x:c r="J191" s="94" t="n">
        <x:f>IF(I191="PIX",Configuracoes!$E$4,0)</x:f>
        <x:v>0</x:v>
      </x:c>
      <x:c r="K191" s="92" t="str">
        <x:f t="shared" si="27"/>
      </x:c>
      <x:c r="L191" s="92" t="str">
        <x:f t="shared" si="28"/>
      </x:c>
      <x:c r="M191" s="70"/>
      <x:c r="N191" s="72"/>
      <x:c r="O191" s="64"/>
      <x:c r="P191" s="96" t="str">
        <x:f>IF(A191="","",COUNTIFS(Atendimentos!$B$4:$B$403,A191,Atendimentos!$H$4:$H$403,"Realizado"))</x:f>
      </x:c>
      <x:c r="Q191" s="96" t="str">
        <x:f t="shared" si="29"/>
      </x:c>
    </x:row>
    <x:row r="192" ht="20" customHeight="1">
      <x:c r="A192" s="96" t="str">
        <x:f t="shared" si="25"/>
      </x:c>
      <x:c r="B192" s="64"/>
      <x:c r="C192" s="96" t="str">
        <x:f>IF(B192="","",IFERROR(INDEX(Pacientes!$A$4:$A$203,MATCH(B192,Pacientes!$B$4:$B$203,0)),""))</x:f>
      </x:c>
      <x:c r="D192" s="72"/>
      <x:c r="E192" s="64"/>
      <x:c r="F192" s="70"/>
      <x:c r="G192" s="92" t="str">
        <x:f>IF(E192="","",IF(E192="Consulta Avulsa",Configuracoes!$B$4,IF(E192="Plano Quinzenal",Configuracoes!$B$5,IF(E192="Plano Semanal",Configuracoes!$B$6,""))))</x:f>
      </x:c>
      <x:c r="H192" s="92" t="str">
        <x:f t="shared" si="26"/>
      </x:c>
      <x:c r="I192" s="64"/>
      <x:c r="J192" s="94" t="n">
        <x:f>IF(I192="PIX",Configuracoes!$E$4,0)</x:f>
        <x:v>0</x:v>
      </x:c>
      <x:c r="K192" s="92" t="str">
        <x:f t="shared" si="27"/>
      </x:c>
      <x:c r="L192" s="92" t="str">
        <x:f t="shared" si="28"/>
      </x:c>
      <x:c r="M192" s="70"/>
      <x:c r="N192" s="72"/>
      <x:c r="O192" s="64"/>
      <x:c r="P192" s="96" t="str">
        <x:f>IF(A192="","",COUNTIFS(Atendimentos!$B$4:$B$403,A192,Atendimentos!$H$4:$H$403,"Realizado"))</x:f>
      </x:c>
      <x:c r="Q192" s="96" t="str">
        <x:f t="shared" si="29"/>
      </x:c>
    </x:row>
    <x:row r="193" ht="20" customHeight="1">
      <x:c r="A193" s="96" t="str">
        <x:f t="shared" si="25"/>
      </x:c>
      <x:c r="B193" s="64"/>
      <x:c r="C193" s="96" t="str">
        <x:f>IF(B193="","",IFERROR(INDEX(Pacientes!$A$4:$A$203,MATCH(B193,Pacientes!$B$4:$B$203,0)),""))</x:f>
      </x:c>
      <x:c r="D193" s="72"/>
      <x:c r="E193" s="64"/>
      <x:c r="F193" s="70"/>
      <x:c r="G193" s="92" t="str">
        <x:f>IF(E193="","",IF(E193="Consulta Avulsa",Configuracoes!$B$4,IF(E193="Plano Quinzenal",Configuracoes!$B$5,IF(E193="Plano Semanal",Configuracoes!$B$6,""))))</x:f>
      </x:c>
      <x:c r="H193" s="92" t="str">
        <x:f t="shared" si="26"/>
      </x:c>
      <x:c r="I193" s="64"/>
      <x:c r="J193" s="94" t="n">
        <x:f>IF(I193="PIX",Configuracoes!$E$4,0)</x:f>
        <x:v>0</x:v>
      </x:c>
      <x:c r="K193" s="92" t="str">
        <x:f t="shared" si="27"/>
      </x:c>
      <x:c r="L193" s="92" t="str">
        <x:f t="shared" si="28"/>
      </x:c>
      <x:c r="M193" s="70"/>
      <x:c r="N193" s="72"/>
      <x:c r="O193" s="64"/>
      <x:c r="P193" s="96" t="str">
        <x:f>IF(A193="","",COUNTIFS(Atendimentos!$B$4:$B$403,A193,Atendimentos!$H$4:$H$403,"Realizado"))</x:f>
      </x:c>
      <x:c r="Q193" s="96" t="str">
        <x:f t="shared" si="29"/>
      </x:c>
    </x:row>
    <x:row r="194" ht="20" customHeight="1">
      <x:c r="A194" s="96" t="str">
        <x:f t="shared" si="25"/>
      </x:c>
      <x:c r="B194" s="64"/>
      <x:c r="C194" s="96" t="str">
        <x:f>IF(B194="","",IFERROR(INDEX(Pacientes!$A$4:$A$203,MATCH(B194,Pacientes!$B$4:$B$203,0)),""))</x:f>
      </x:c>
      <x:c r="D194" s="72"/>
      <x:c r="E194" s="64"/>
      <x:c r="F194" s="70"/>
      <x:c r="G194" s="92" t="str">
        <x:f>IF(E194="","",IF(E194="Consulta Avulsa",Configuracoes!$B$4,IF(E194="Plano Quinzenal",Configuracoes!$B$5,IF(E194="Plano Semanal",Configuracoes!$B$6,""))))</x:f>
      </x:c>
      <x:c r="H194" s="92" t="str">
        <x:f t="shared" si="26"/>
      </x:c>
      <x:c r="I194" s="64"/>
      <x:c r="J194" s="94" t="n">
        <x:f>IF(I194="PIX",Configuracoes!$E$4,0)</x:f>
        <x:v>0</x:v>
      </x:c>
      <x:c r="K194" s="92" t="str">
        <x:f t="shared" si="27"/>
      </x:c>
      <x:c r="L194" s="92" t="str">
        <x:f t="shared" si="28"/>
      </x:c>
      <x:c r="M194" s="70"/>
      <x:c r="N194" s="72"/>
      <x:c r="O194" s="64"/>
      <x:c r="P194" s="96" t="str">
        <x:f>IF(A194="","",COUNTIFS(Atendimentos!$B$4:$B$403,A194,Atendimentos!$H$4:$H$403,"Realizado"))</x:f>
      </x:c>
      <x:c r="Q194" s="96" t="str">
        <x:f t="shared" si="29"/>
      </x:c>
    </x:row>
    <x:row r="195" ht="20" customHeight="1">
      <x:c r="A195" s="96" t="str">
        <x:f t="shared" si="25"/>
      </x:c>
      <x:c r="B195" s="64"/>
      <x:c r="C195" s="96" t="str">
        <x:f>IF(B195="","",IFERROR(INDEX(Pacientes!$A$4:$A$203,MATCH(B195,Pacientes!$B$4:$B$203,0)),""))</x:f>
      </x:c>
      <x:c r="D195" s="72"/>
      <x:c r="E195" s="64"/>
      <x:c r="F195" s="70"/>
      <x:c r="G195" s="92" t="str">
        <x:f>IF(E195="","",IF(E195="Consulta Avulsa",Configuracoes!$B$4,IF(E195="Plano Quinzenal",Configuracoes!$B$5,IF(E195="Plano Semanal",Configuracoes!$B$6,""))))</x:f>
      </x:c>
      <x:c r="H195" s="92" t="str">
        <x:f t="shared" si="26"/>
      </x:c>
      <x:c r="I195" s="64"/>
      <x:c r="J195" s="94" t="n">
        <x:f>IF(I195="PIX",Configuracoes!$E$4,0)</x:f>
        <x:v>0</x:v>
      </x:c>
      <x:c r="K195" s="92" t="str">
        <x:f t="shared" si="27"/>
      </x:c>
      <x:c r="L195" s="92" t="str">
        <x:f t="shared" si="28"/>
      </x:c>
      <x:c r="M195" s="70"/>
      <x:c r="N195" s="72"/>
      <x:c r="O195" s="64"/>
      <x:c r="P195" s="96" t="str">
        <x:f>IF(A195="","",COUNTIFS(Atendimentos!$B$4:$B$403,A195,Atendimentos!$H$4:$H$403,"Realizado"))</x:f>
      </x:c>
      <x:c r="Q195" s="96" t="str">
        <x:f t="shared" si="29"/>
      </x:c>
    </x:row>
    <x:row r="196" ht="20" customHeight="1">
      <x:c r="A196" s="96" t="str">
        <x:f t="shared" ref="A196:A203" si="30">IF(B196="","",ROW()-3)</x:f>
      </x:c>
      <x:c r="B196" s="64"/>
      <x:c r="C196" s="96" t="str">
        <x:f>IF(B196="","",IFERROR(INDEX(Pacientes!$A$4:$A$203,MATCH(B196,Pacientes!$B$4:$B$203,0)),""))</x:f>
      </x:c>
      <x:c r="D196" s="72"/>
      <x:c r="E196" s="64"/>
      <x:c r="F196" s="70"/>
      <x:c r="G196" s="92" t="str">
        <x:f>IF(E196="","",IF(E196="Consulta Avulsa",Configuracoes!$B$4,IF(E196="Plano Quinzenal",Configuracoes!$B$5,IF(E196="Plano Semanal",Configuracoes!$B$6,""))))</x:f>
      </x:c>
      <x:c r="H196" s="92" t="str">
        <x:f t="shared" ref="H196:H203" si="31">IF(OR(F196="",G196=""),"",F196*G196)</x:f>
      </x:c>
      <x:c r="I196" s="64"/>
      <x:c r="J196" s="94" t="n">
        <x:f>IF(I196="PIX",Configuracoes!$E$4,0)</x:f>
        <x:v>0</x:v>
      </x:c>
      <x:c r="K196" s="92" t="str">
        <x:f t="shared" ref="K196:K203" si="32">IF(H196="","",H196*J196)</x:f>
      </x:c>
      <x:c r="L196" s="92" t="str">
        <x:f t="shared" ref="L196:L203" si="33">IF(H196="","",H196-K196)</x:f>
      </x:c>
      <x:c r="M196" s="70"/>
      <x:c r="N196" s="72"/>
      <x:c r="O196" s="64"/>
      <x:c r="P196" s="96" t="str">
        <x:f>IF(A196="","",COUNTIFS(Atendimentos!$B$4:$B$403,A196,Atendimentos!$H$4:$H$403,"Realizado"))</x:f>
      </x:c>
      <x:c r="Q196" s="96" t="str">
        <x:f t="shared" ref="Q196:Q203" si="34">IF(F196="","",MAX(F196-P196,0))</x:f>
      </x:c>
    </x:row>
    <x:row r="197" ht="20" customHeight="1">
      <x:c r="A197" s="96" t="str">
        <x:f t="shared" si="30"/>
      </x:c>
      <x:c r="B197" s="64"/>
      <x:c r="C197" s="96" t="str">
        <x:f>IF(B197="","",IFERROR(INDEX(Pacientes!$A$4:$A$203,MATCH(B197,Pacientes!$B$4:$B$203,0)),""))</x:f>
      </x:c>
      <x:c r="D197" s="72"/>
      <x:c r="E197" s="64"/>
      <x:c r="F197" s="70"/>
      <x:c r="G197" s="92" t="str">
        <x:f>IF(E197="","",IF(E197="Consulta Avulsa",Configuracoes!$B$4,IF(E197="Plano Quinzenal",Configuracoes!$B$5,IF(E197="Plano Semanal",Configuracoes!$B$6,""))))</x:f>
      </x:c>
      <x:c r="H197" s="92" t="str">
        <x:f t="shared" si="31"/>
      </x:c>
      <x:c r="I197" s="64"/>
      <x:c r="J197" s="94" t="n">
        <x:f>IF(I197="PIX",Configuracoes!$E$4,0)</x:f>
        <x:v>0</x:v>
      </x:c>
      <x:c r="K197" s="92" t="str">
        <x:f t="shared" si="32"/>
      </x:c>
      <x:c r="L197" s="92" t="str">
        <x:f t="shared" si="33"/>
      </x:c>
      <x:c r="M197" s="70"/>
      <x:c r="N197" s="72"/>
      <x:c r="O197" s="64"/>
      <x:c r="P197" s="96" t="str">
        <x:f>IF(A197="","",COUNTIFS(Atendimentos!$B$4:$B$403,A197,Atendimentos!$H$4:$H$403,"Realizado"))</x:f>
      </x:c>
      <x:c r="Q197" s="96" t="str">
        <x:f t="shared" si="34"/>
      </x:c>
    </x:row>
    <x:row r="198" ht="20" customHeight="1">
      <x:c r="A198" s="96" t="str">
        <x:f t="shared" si="30"/>
      </x:c>
      <x:c r="B198" s="64"/>
      <x:c r="C198" s="96" t="str">
        <x:f>IF(B198="","",IFERROR(INDEX(Pacientes!$A$4:$A$203,MATCH(B198,Pacientes!$B$4:$B$203,0)),""))</x:f>
      </x:c>
      <x:c r="D198" s="72"/>
      <x:c r="E198" s="64"/>
      <x:c r="F198" s="70"/>
      <x:c r="G198" s="92" t="str">
        <x:f>IF(E198="","",IF(E198="Consulta Avulsa",Configuracoes!$B$4,IF(E198="Plano Quinzenal",Configuracoes!$B$5,IF(E198="Plano Semanal",Configuracoes!$B$6,""))))</x:f>
      </x:c>
      <x:c r="H198" s="92" t="str">
        <x:f t="shared" si="31"/>
      </x:c>
      <x:c r="I198" s="64"/>
      <x:c r="J198" s="94" t="n">
        <x:f>IF(I198="PIX",Configuracoes!$E$4,0)</x:f>
        <x:v>0</x:v>
      </x:c>
      <x:c r="K198" s="92" t="str">
        <x:f t="shared" si="32"/>
      </x:c>
      <x:c r="L198" s="92" t="str">
        <x:f t="shared" si="33"/>
      </x:c>
      <x:c r="M198" s="70"/>
      <x:c r="N198" s="72"/>
      <x:c r="O198" s="64"/>
      <x:c r="P198" s="96" t="str">
        <x:f>IF(A198="","",COUNTIFS(Atendimentos!$B$4:$B$403,A198,Atendimentos!$H$4:$H$403,"Realizado"))</x:f>
      </x:c>
      <x:c r="Q198" s="96" t="str">
        <x:f t="shared" si="34"/>
      </x:c>
    </x:row>
    <x:row r="199" ht="20" customHeight="1">
      <x:c r="A199" s="96" t="str">
        <x:f t="shared" si="30"/>
      </x:c>
      <x:c r="B199" s="64"/>
      <x:c r="C199" s="96" t="str">
        <x:f>IF(B199="","",IFERROR(INDEX(Pacientes!$A$4:$A$203,MATCH(B199,Pacientes!$B$4:$B$203,0)),""))</x:f>
      </x:c>
      <x:c r="D199" s="72"/>
      <x:c r="E199" s="64"/>
      <x:c r="F199" s="70"/>
      <x:c r="G199" s="92" t="str">
        <x:f>IF(E199="","",IF(E199="Consulta Avulsa",Configuracoes!$B$4,IF(E199="Plano Quinzenal",Configuracoes!$B$5,IF(E199="Plano Semanal",Configuracoes!$B$6,""))))</x:f>
      </x:c>
      <x:c r="H199" s="92" t="str">
        <x:f t="shared" si="31"/>
      </x:c>
      <x:c r="I199" s="64"/>
      <x:c r="J199" s="94" t="n">
        <x:f>IF(I199="PIX",Configuracoes!$E$4,0)</x:f>
        <x:v>0</x:v>
      </x:c>
      <x:c r="K199" s="92" t="str">
        <x:f t="shared" si="32"/>
      </x:c>
      <x:c r="L199" s="92" t="str">
        <x:f t="shared" si="33"/>
      </x:c>
      <x:c r="M199" s="70"/>
      <x:c r="N199" s="72"/>
      <x:c r="O199" s="64"/>
      <x:c r="P199" s="96" t="str">
        <x:f>IF(A199="","",COUNTIFS(Atendimentos!$B$4:$B$403,A199,Atendimentos!$H$4:$H$403,"Realizado"))</x:f>
      </x:c>
      <x:c r="Q199" s="96" t="str">
        <x:f t="shared" si="34"/>
      </x:c>
    </x:row>
    <x:row r="200" ht="20" customHeight="1">
      <x:c r="A200" s="96" t="str">
        <x:f t="shared" si="30"/>
      </x:c>
      <x:c r="B200" s="64"/>
      <x:c r="C200" s="96" t="str">
        <x:f>IF(B200="","",IFERROR(INDEX(Pacientes!$A$4:$A$203,MATCH(B200,Pacientes!$B$4:$B$203,0)),""))</x:f>
      </x:c>
      <x:c r="D200" s="72"/>
      <x:c r="E200" s="64"/>
      <x:c r="F200" s="70"/>
      <x:c r="G200" s="92" t="str">
        <x:f>IF(E200="","",IF(E200="Consulta Avulsa",Configuracoes!$B$4,IF(E200="Plano Quinzenal",Configuracoes!$B$5,IF(E200="Plano Semanal",Configuracoes!$B$6,""))))</x:f>
      </x:c>
      <x:c r="H200" s="92" t="str">
        <x:f t="shared" si="31"/>
      </x:c>
      <x:c r="I200" s="64"/>
      <x:c r="J200" s="94" t="n">
        <x:f>IF(I200="PIX",Configuracoes!$E$4,0)</x:f>
        <x:v>0</x:v>
      </x:c>
      <x:c r="K200" s="92" t="str">
        <x:f t="shared" si="32"/>
      </x:c>
      <x:c r="L200" s="92" t="str">
        <x:f t="shared" si="33"/>
      </x:c>
      <x:c r="M200" s="70"/>
      <x:c r="N200" s="72"/>
      <x:c r="O200" s="64"/>
      <x:c r="P200" s="96" t="str">
        <x:f>IF(A200="","",COUNTIFS(Atendimentos!$B$4:$B$403,A200,Atendimentos!$H$4:$H$403,"Realizado"))</x:f>
      </x:c>
      <x:c r="Q200" s="96" t="str">
        <x:f t="shared" si="34"/>
      </x:c>
    </x:row>
    <x:row r="201" ht="20" customHeight="1">
      <x:c r="A201" s="96" t="str">
        <x:f t="shared" si="30"/>
      </x:c>
      <x:c r="B201" s="64"/>
      <x:c r="C201" s="96" t="str">
        <x:f>IF(B201="","",IFERROR(INDEX(Pacientes!$A$4:$A$203,MATCH(B201,Pacientes!$B$4:$B$203,0)),""))</x:f>
      </x:c>
      <x:c r="D201" s="72"/>
      <x:c r="E201" s="64"/>
      <x:c r="F201" s="70"/>
      <x:c r="G201" s="92" t="str">
        <x:f>IF(E201="","",IF(E201="Consulta Avulsa",Configuracoes!$B$4,IF(E201="Plano Quinzenal",Configuracoes!$B$5,IF(E201="Plano Semanal",Configuracoes!$B$6,""))))</x:f>
      </x:c>
      <x:c r="H201" s="92" t="str">
        <x:f t="shared" si="31"/>
      </x:c>
      <x:c r="I201" s="64"/>
      <x:c r="J201" s="94" t="n">
        <x:f>IF(I201="PIX",Configuracoes!$E$4,0)</x:f>
        <x:v>0</x:v>
      </x:c>
      <x:c r="K201" s="92" t="str">
        <x:f t="shared" si="32"/>
      </x:c>
      <x:c r="L201" s="92" t="str">
        <x:f t="shared" si="33"/>
      </x:c>
      <x:c r="M201" s="70"/>
      <x:c r="N201" s="72"/>
      <x:c r="O201" s="64"/>
      <x:c r="P201" s="96" t="str">
        <x:f>IF(A201="","",COUNTIFS(Atendimentos!$B$4:$B$403,A201,Atendimentos!$H$4:$H$403,"Realizado"))</x:f>
      </x:c>
      <x:c r="Q201" s="96" t="str">
        <x:f t="shared" si="34"/>
      </x:c>
    </x:row>
    <x:row r="202" ht="20" customHeight="1">
      <x:c r="A202" s="96" t="str">
        <x:f t="shared" si="30"/>
      </x:c>
      <x:c r="B202" s="64"/>
      <x:c r="C202" s="96" t="str">
        <x:f>IF(B202="","",IFERROR(INDEX(Pacientes!$A$4:$A$203,MATCH(B202,Pacientes!$B$4:$B$203,0)),""))</x:f>
      </x:c>
      <x:c r="D202" s="72"/>
      <x:c r="E202" s="64"/>
      <x:c r="F202" s="70"/>
      <x:c r="G202" s="92" t="str">
        <x:f>IF(E202="","",IF(E202="Consulta Avulsa",Configuracoes!$B$4,IF(E202="Plano Quinzenal",Configuracoes!$B$5,IF(E202="Plano Semanal",Configuracoes!$B$6,""))))</x:f>
      </x:c>
      <x:c r="H202" s="92" t="str">
        <x:f t="shared" si="31"/>
      </x:c>
      <x:c r="I202" s="64"/>
      <x:c r="J202" s="94" t="n">
        <x:f>IF(I202="PIX",Configuracoes!$E$4,0)</x:f>
        <x:v>0</x:v>
      </x:c>
      <x:c r="K202" s="92" t="str">
        <x:f t="shared" si="32"/>
      </x:c>
      <x:c r="L202" s="92" t="str">
        <x:f t="shared" si="33"/>
      </x:c>
      <x:c r="M202" s="70"/>
      <x:c r="N202" s="72"/>
      <x:c r="O202" s="64"/>
      <x:c r="P202" s="96" t="str">
        <x:f>IF(A202="","",COUNTIFS(Atendimentos!$B$4:$B$403,A202,Atendimentos!$H$4:$H$403,"Realizado"))</x:f>
      </x:c>
      <x:c r="Q202" s="96" t="str">
        <x:f t="shared" si="34"/>
      </x:c>
    </x:row>
    <x:row r="203" ht="20" customHeight="1">
      <x:c r="A203" s="96" t="str">
        <x:f t="shared" si="30"/>
      </x:c>
      <x:c r="B203" s="64"/>
      <x:c r="C203" s="96" t="str">
        <x:f>IF(B203="","",IFERROR(INDEX(Pacientes!$A$4:$A$203,MATCH(B203,Pacientes!$B$4:$B$203,0)),""))</x:f>
      </x:c>
      <x:c r="D203" s="72"/>
      <x:c r="E203" s="64"/>
      <x:c r="F203" s="70"/>
      <x:c r="G203" s="92" t="str">
        <x:f>IF(E203="","",IF(E203="Consulta Avulsa",Configuracoes!$B$4,IF(E203="Plano Quinzenal",Configuracoes!$B$5,IF(E203="Plano Semanal",Configuracoes!$B$6,""))))</x:f>
      </x:c>
      <x:c r="H203" s="92" t="str">
        <x:f t="shared" si="31"/>
      </x:c>
      <x:c r="I203" s="64"/>
      <x:c r="J203" s="94" t="n">
        <x:f>IF(I203="PIX",Configuracoes!$E$4,0)</x:f>
        <x:v>0</x:v>
      </x:c>
      <x:c r="K203" s="92" t="str">
        <x:f t="shared" si="32"/>
      </x:c>
      <x:c r="L203" s="92" t="str">
        <x:f t="shared" si="33"/>
      </x:c>
      <x:c r="M203" s="70"/>
      <x:c r="N203" s="72"/>
      <x:c r="O203" s="64"/>
      <x:c r="P203" s="96" t="str">
        <x:f>IF(A203="","",COUNTIFS(Atendimentos!$B$4:$B$403,A203,Atendimentos!$H$4:$H$403,"Realizado"))</x:f>
      </x:c>
      <x:c r="Q203" s="96" t="str">
        <x:f t="shared" si="34"/>
      </x:c>
    </x:row>
  </x:sheetData>
  <x:mergeCells>
    <x:mergeCell ref="A2:I2"/>
    <x:mergeCell ref="A1:Q1"/>
    <x:mergeCell ref="A2:Q2"/>
  </x:mergeCells>
  <x:conditionalFormatting sqref="O4:O203">
    <x:cfRule type="expression" dxfId="10" priority="1">
      <x:formula>OR(O4="Recebido",O4="Pago",O4="Realizado",O4="Ativo",O4="Concluído")</x:formula>
    </x:cfRule>
    <x:cfRule type="expression" dxfId="11" priority="2">
      <x:formula>OR(O4="Pendente",O4="Retorno Pendente",O4="Em andamento",O4="Agendado")</x:formula>
    </x:cfRule>
    <x:cfRule type="expression" dxfId="12" priority="3">
      <x:formula>OR(O4="Cancelado",O4="Faltou")</x:formula>
    </x:cfRule>
    <x:cfRule type="expression" dxfId="13" priority="4">
      <x:formula>OR(O4="Inativo",O4="Em Pausa")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3.800000190734863"/>
  <x:cols>
    <x:col min="1" max="1" width="13" hidden="0" customWidth="1"/>
    <x:col min="2" max="2" width="11" hidden="0" customWidth="1"/>
    <x:col min="3" max="3" width="24" hidden="0" customWidth="1"/>
    <x:col min="4" max="4" width="11" hidden="0" customWidth="1"/>
    <x:col min="5" max="5" width="15" hidden="0" customWidth="1"/>
    <x:col min="6" max="6" width="10" hidden="0" customWidth="1"/>
    <x:col min="7" max="7" width="14" hidden="0" customWidth="1"/>
    <x:col min="8" max="8" width="18" hidden="0" customWidth="1"/>
    <x:col min="9" max="9" width="20" hidden="0" customWidth="1"/>
  </x:cols>
  <x:sheetData>
    <x:row r="1" ht="30" customHeight="1">
      <x:c r="A1" s="38" t="s">
        <x:v>70</x:v>
      </x:c>
      <x:c r="B1" s="38"/>
      <x:c r="C1" s="38"/>
      <x:c r="D1" s="38"/>
      <x:c r="E1" s="38"/>
      <x:c r="F1" s="38"/>
      <x:c r="G1" s="38"/>
      <x:c r="H1" s="38"/>
      <x:c r="I1" s="38"/>
    </x:row>
    <x:row r="2" ht="24" customHeight="1">
      <x:c r="A2" s="44" t="s">
        <x:v>71</x:v>
      </x:c>
      <x:c r="B2" s="44"/>
      <x:c r="C2" s="44"/>
      <x:c r="D2" s="44"/>
      <x:c r="E2" s="44"/>
      <x:c r="F2" s="44"/>
      <x:c r="G2" s="44"/>
      <x:c r="H2" s="44"/>
      <x:c r="I2" s="44"/>
    </x:row>
    <x:row r="3" ht="30" customHeight="1">
      <x:c r="A3" s="49" t="s">
        <x:v>72</x:v>
      </x:c>
      <x:c r="B3" s="49" t="s">
        <x:v>45</x:v>
      </x:c>
      <x:c r="C3" s="49" t="s">
        <x:v>46</x:v>
      </x:c>
      <x:c r="D3" s="49" t="s">
        <x:v>26</x:v>
      </x:c>
      <x:c r="E3" s="49" t="s">
        <x:v>73</x:v>
      </x:c>
      <x:c r="F3" s="49" t="s">
        <x:v>74</x:v>
      </x:c>
      <x:c r="G3" s="49" t="s">
        <x:v>75</x:v>
      </x:c>
      <x:c r="H3" s="49" t="s">
        <x:v>76</x:v>
      </x:c>
      <x:c r="I3" s="49" t="s">
        <x:v>77</x:v>
      </x:c>
    </x:row>
    <x:row r="4" ht="20" customHeight="1">
      <x:c r="A4" s="68" t="n">
        <x:f t="shared" ref="A4:A67" si="0">IF(B4="","",ROW()-3)</x:f>
        <x:v>1</x:v>
      </x:c>
      <x:c r="B4" s="64">
        <x:v>7</x:v>
      </x:c>
      <x:c r="C4" s="68" t="str">
        <x:f>IF(B4="","",IFERROR(INDEX(Planos_Contratos!$B$4:$B$203,MATCH(B4,Planos_Contratos!$A$4:$A$203,0)),""))</x:f>
        <x:v>Paciente 007</x:v>
      </x:c>
      <x:c r="D4" s="68" t="n">
        <x:f>IF(B4="","",IFERROR(INDEX(Planos_Contratos!$C$4:$C$203,MATCH(B4,Planos_Contratos!$A$4:$A$203,0)),""))</x:f>
        <x:v>7</x:v>
      </x:c>
      <x:c r="E4" s="72">
        <x:v>46024</x:v>
      </x:c>
      <x:c r="F4" s="104">
        <x:v>0.4375</x:v>
      </x:c>
      <x:c r="G4" s="64" t="s">
        <x:v>34</x:v>
      </x:c>
      <x:c r="H4" s="64" t="s">
        <x:v>78</x:v>
      </x:c>
      <x:c r="I4" s="92" t="n">
        <x:f>IF(B4="","",IFERROR(INDEX(Planos_Contratos!$G$4:$G$203,MATCH(B4,Planos_Contratos!$A$4:$A$203,0)),""))</x:f>
        <x:v>270</x:v>
      </x:c>
    </x:row>
    <x:row r="5" ht="20" customHeight="1">
      <x:c r="A5" s="68" t="n">
        <x:f>IF(B5="","",ROW()-3)</x:f>
        <x:v>2</x:v>
      </x:c>
      <x:c r="B5" s="64">
        <x:v>4</x:v>
      </x:c>
      <x:c r="C5" s="68" t="str">
        <x:f>IF(B5="","",IFERROR(INDEX(Planos_Contratos!$B$4:$B$203,MATCH(B5,Planos_Contratos!$A$4:$A$203,0)),""))</x:f>
        <x:v>Paciente 004</x:v>
      </x:c>
      <x:c r="D5" s="68" t="n">
        <x:f>IF(B5="","",IFERROR(INDEX(Planos_Contratos!$C$4:$C$203,MATCH(B5,Planos_Contratos!$A$4:$A$203,0)),""))</x:f>
        <x:v>4</x:v>
      </x:c>
      <x:c r="E5" s="72">
        <x:v>46025</x:v>
      </x:c>
      <x:c r="F5" s="104">
        <x:v>0.375</x:v>
      </x:c>
      <x:c r="G5" s="64" t="s">
        <x:v>34</x:v>
      </x:c>
      <x:c r="H5" s="64" t="s">
        <x:v>78</x:v>
      </x:c>
      <x:c r="I5" s="92" t="n">
        <x:f>IF(B5="","",IFERROR(INDEX(Planos_Contratos!$G$4:$G$203,MATCH(B5,Planos_Contratos!$A$4:$A$203,0)),""))</x:f>
        <x:v>270</x:v>
      </x:c>
    </x:row>
    <x:row r="6" ht="20" customHeight="1">
      <x:c r="A6" s="68">
        <x:f t="shared" si="0"/>
        <x:v>3</x:v>
      </x:c>
      <x:c r="B6" s="64">
        <x:v>3</x:v>
      </x:c>
      <x:c r="C6" s="68" t="str">
        <x:f>IF(B6="","",IFERROR(INDEX(Planos_Contratos!$B$4:$B$203,MATCH(B6,Planos_Contratos!$A$4:$A$203,0)),""))</x:f>
        <x:v>Paciente 003</x:v>
      </x:c>
      <x:c r="D6" s="68" t="n">
        <x:f>IF(B6="","",IFERROR(INDEX(Planos_Contratos!$C$4:$C$203,MATCH(B6,Planos_Contratos!$A$4:$A$203,0)),""))</x:f>
        <x:v>3</x:v>
      </x:c>
      <x:c r="E6" s="72">
        <x:v>46027</x:v>
      </x:c>
      <x:c r="F6" s="104">
        <x:v>0.39583333333333331</x:v>
      </x:c>
      <x:c r="G6" s="64" t="s">
        <x:v>34</x:v>
      </x:c>
      <x:c r="H6" s="64" t="s">
        <x:v>78</x:v>
      </x:c>
      <x:c r="I6" s="92" t="n">
        <x:f>IF(B6="","",IFERROR(INDEX(Planos_Contratos!$G$4:$G$203,MATCH(B6,Planos_Contratos!$A$4:$A$203,0)),""))</x:f>
        <x:v>180</x:v>
      </x:c>
    </x:row>
    <x:row r="7" ht="20" customHeight="1">
      <x:c r="A7" s="68">
        <x:f t="shared" si="0"/>
        <x:v>4</x:v>
      </x:c>
      <x:c r="B7" s="64">
        <x:v>8</x:v>
      </x:c>
      <x:c r="C7" s="68" t="str">
        <x:f>IF(B7="","",IFERROR(INDEX(Planos_Contratos!$B$4:$B$203,MATCH(B7,Planos_Contratos!$A$4:$A$203,0)),""))</x:f>
        <x:v>Paciente 008</x:v>
      </x:c>
      <x:c r="D7" s="68" t="n">
        <x:f>IF(B7="","",IFERROR(INDEX(Planos_Contratos!$C$4:$C$203,MATCH(B7,Planos_Contratos!$A$4:$A$203,0)),""))</x:f>
        <x:v>8</x:v>
      </x:c>
      <x:c r="E7" s="72">
        <x:v>46028</x:v>
      </x:c>
      <x:c r="F7" s="104">
        <x:v>0.625</x:v>
      </x:c>
      <x:c r="G7" s="64" t="s">
        <x:v>34</x:v>
      </x:c>
      <x:c r="H7" s="64" t="s">
        <x:v>78</x:v>
      </x:c>
      <x:c r="I7" s="92" t="n">
        <x:f>IF(B7="","",IFERROR(INDEX(Planos_Contratos!$G$4:$G$203,MATCH(B7,Planos_Contratos!$A$4:$A$203,0)),""))</x:f>
        <x:v>180</x:v>
      </x:c>
    </x:row>
    <x:row r="8" ht="20" customHeight="1">
      <x:c r="A8" s="68">
        <x:f t="shared" si="0"/>
        <x:v>5</x:v>
      </x:c>
      <x:c r="B8" s="64">
        <x:v>5</x:v>
      </x:c>
      <x:c r="C8" s="68" t="str">
        <x:f>IF(B8="","",IFERROR(INDEX(Planos_Contratos!$B$4:$B$203,MATCH(B8,Planos_Contratos!$A$4:$A$203,0)),""))</x:f>
        <x:v>Paciente 005</x:v>
      </x:c>
      <x:c r="D8" s="68" t="n">
        <x:f>IF(B8="","",IFERROR(INDEX(Planos_Contratos!$C$4:$C$203,MATCH(B8,Planos_Contratos!$A$4:$A$203,0)),""))</x:f>
        <x:v>5</x:v>
      </x:c>
      <x:c r="E8" s="72">
        <x:v>46029</x:v>
      </x:c>
      <x:c r="F8" s="104">
        <x:v>0.6875</x:v>
      </x:c>
      <x:c r="G8" s="64" t="s">
        <x:v>34</x:v>
      </x:c>
      <x:c r="H8" s="64" t="s">
        <x:v>78</x:v>
      </x:c>
      <x:c r="I8" s="92" t="n">
        <x:f>IF(B8="","",IFERROR(INDEX(Planos_Contratos!$G$4:$G$203,MATCH(B8,Planos_Contratos!$A$4:$A$203,0)),""))</x:f>
        <x:v>81</x:v>
      </x:c>
    </x:row>
    <x:row r="9" ht="20" customHeight="1">
      <x:c r="A9" s="68">
        <x:f t="shared" si="0"/>
        <x:v>6</x:v>
      </x:c>
      <x:c r="B9" s="64">
        <x:v>5</x:v>
      </x:c>
      <x:c r="C9" s="68" t="str">
        <x:f>IF(B9="","",IFERROR(INDEX(Planos_Contratos!$B$4:$B$203,MATCH(B9,Planos_Contratos!$A$4:$A$203,0)),""))</x:f>
        <x:v>Paciente 005</x:v>
      </x:c>
      <x:c r="D9" s="68" t="n">
        <x:f>IF(B9="","",IFERROR(INDEX(Planos_Contratos!$C$4:$C$203,MATCH(B9,Planos_Contratos!$A$4:$A$203,0)),""))</x:f>
        <x:v>5</x:v>
      </x:c>
      <x:c r="E9" s="72">
        <x:v>46036</x:v>
      </x:c>
      <x:c r="F9" s="104">
        <x:v>0.66666666666666663</x:v>
      </x:c>
      <x:c r="G9" s="64" t="s">
        <x:v>34</x:v>
      </x:c>
      <x:c r="H9" s="64" t="s">
        <x:v>78</x:v>
      </x:c>
      <x:c r="I9" s="92" t="n">
        <x:f>IF(B9="","",IFERROR(INDEX(Planos_Contratos!$G$4:$G$203,MATCH(B9,Planos_Contratos!$A$4:$A$203,0)),""))</x:f>
        <x:v>81</x:v>
      </x:c>
    </x:row>
    <x:row r="10" ht="20" customHeight="1">
      <x:c r="A10" s="68">
        <x:f t="shared" si="0"/>
        <x:v>7</x:v>
      </x:c>
      <x:c r="B10" s="64">
        <x:v>12</x:v>
      </x:c>
      <x:c r="C10" s="68" t="str">
        <x:f>IF(B10="","",IFERROR(INDEX(Planos_Contratos!$B$4:$B$203,MATCH(B10,Planos_Contratos!$A$4:$A$203,0)),""))</x:f>
        <x:v>Paciente 007</x:v>
      </x:c>
      <x:c r="D10" s="68" t="n">
        <x:f>IF(B10="","",IFERROR(INDEX(Planos_Contratos!$C$4:$C$203,MATCH(B10,Planos_Contratos!$A$4:$A$203,0)),""))</x:f>
        <x:v>7</x:v>
      </x:c>
      <x:c r="E10" s="72">
        <x:v>46037</x:v>
      </x:c>
      <x:c r="F10" s="104">
        <x:v>0.54166666666666663</x:v>
      </x:c>
      <x:c r="G10" s="64" t="s">
        <x:v>34</x:v>
      </x:c>
      <x:c r="H10" s="64" t="s">
        <x:v>78</x:v>
      </x:c>
      <x:c r="I10" s="92" t="n">
        <x:f>IF(B10="","",IFERROR(INDEX(Planos_Contratos!$G$4:$G$203,MATCH(B10,Planos_Contratos!$A$4:$A$203,0)),""))</x:f>
        <x:v>180</x:v>
      </x:c>
    </x:row>
    <x:row r="11" ht="20" customHeight="1">
      <x:c r="A11" s="68">
        <x:f t="shared" si="0"/>
        <x:v>8</x:v>
      </x:c>
      <x:c r="B11" s="64">
        <x:v>7</x:v>
      </x:c>
      <x:c r="C11" s="68" t="str">
        <x:f>IF(B11="","",IFERROR(INDEX(Planos_Contratos!$B$4:$B$203,MATCH(B11,Planos_Contratos!$A$4:$A$203,0)),""))</x:f>
        <x:v>Paciente 007</x:v>
      </x:c>
      <x:c r="D11" s="68" t="n">
        <x:f>IF(B11="","",IFERROR(INDEX(Planos_Contratos!$C$4:$C$203,MATCH(B11,Planos_Contratos!$A$4:$A$203,0)),""))</x:f>
        <x:v>7</x:v>
      </x:c>
      <x:c r="E11" s="72">
        <x:v>46038</x:v>
      </x:c>
      <x:c r="F11" s="104">
        <x:v>0.70833333333333337</x:v>
      </x:c>
      <x:c r="G11" s="64" t="s">
        <x:v>34</x:v>
      </x:c>
      <x:c r="H11" s="64" t="s">
        <x:v>78</x:v>
      </x:c>
      <x:c r="I11" s="92" t="n">
        <x:f>IF(B11="","",IFERROR(INDEX(Planos_Contratos!$G$4:$G$203,MATCH(B11,Planos_Contratos!$A$4:$A$203,0)),""))</x:f>
        <x:v>270</x:v>
      </x:c>
    </x:row>
    <x:row r="12" ht="20" customHeight="1">
      <x:c r="A12" s="68">
        <x:f t="shared" si="0"/>
        <x:v>9</x:v>
      </x:c>
      <x:c r="B12" s="64">
        <x:v>4</x:v>
      </x:c>
      <x:c r="C12" s="68" t="str">
        <x:f>IF(B12="","",IFERROR(INDEX(Planos_Contratos!$B$4:$B$203,MATCH(B12,Planos_Contratos!$A$4:$A$203,0)),""))</x:f>
        <x:v>Paciente 004</x:v>
      </x:c>
      <x:c r="D12" s="68" t="n">
        <x:f>IF(B12="","",IFERROR(INDEX(Planos_Contratos!$C$4:$C$203,MATCH(B12,Planos_Contratos!$A$4:$A$203,0)),""))</x:f>
        <x:v>4</x:v>
      </x:c>
      <x:c r="E12" s="72">
        <x:v>46039</x:v>
      </x:c>
      <x:c r="F12" s="104">
        <x:v>0.39583333333333331</x:v>
      </x:c>
      <x:c r="G12" s="64" t="s">
        <x:v>34</x:v>
      </x:c>
      <x:c r="H12" s="64" t="s">
        <x:v>78</x:v>
      </x:c>
      <x:c r="I12" s="92" t="n">
        <x:f>IF(B12="","",IFERROR(INDEX(Planos_Contratos!$G$4:$G$203,MATCH(B12,Planos_Contratos!$A$4:$A$203,0)),""))</x:f>
        <x:v>270</x:v>
      </x:c>
    </x:row>
    <x:row r="13" ht="20" customHeight="1">
      <x:c r="A13" s="68">
        <x:f t="shared" si="0"/>
        <x:v>10</x:v>
      </x:c>
      <x:c r="B13" s="64">
        <x:v>3</x:v>
      </x:c>
      <x:c r="C13" s="68" t="str">
        <x:f>IF(B13="","",IFERROR(INDEX(Planos_Contratos!$B$4:$B$203,MATCH(B13,Planos_Contratos!$A$4:$A$203,0)),""))</x:f>
        <x:v>Paciente 003</x:v>
      </x:c>
      <x:c r="D13" s="68" t="n">
        <x:f>IF(B13="","",IFERROR(INDEX(Planos_Contratos!$C$4:$C$203,MATCH(B13,Planos_Contratos!$A$4:$A$203,0)),""))</x:f>
        <x:v>3</x:v>
      </x:c>
      <x:c r="E13" s="72">
        <x:v>46041</x:v>
      </x:c>
      <x:c r="F13" s="104">
        <x:v>0.33333333333333331</x:v>
      </x:c>
      <x:c r="G13" s="64" t="s">
        <x:v>34</x:v>
      </x:c>
      <x:c r="H13" s="64" t="s">
        <x:v>78</x:v>
      </x:c>
      <x:c r="I13" s="92" t="n">
        <x:f>IF(B13="","",IFERROR(INDEX(Planos_Contratos!$G$4:$G$203,MATCH(B13,Planos_Contratos!$A$4:$A$203,0)),""))</x:f>
        <x:v>180</x:v>
      </x:c>
    </x:row>
    <x:row r="14" ht="20" customHeight="1">
      <x:c r="A14" s="68">
        <x:f t="shared" si="0"/>
        <x:v>11</x:v>
      </x:c>
      <x:c r="B14" s="64">
        <x:v>8</x:v>
      </x:c>
      <x:c r="C14" s="68" t="str">
        <x:f>IF(B14="","",IFERROR(INDEX(Planos_Contratos!$B$4:$B$203,MATCH(B14,Planos_Contratos!$A$4:$A$203,0)),""))</x:f>
        <x:v>Paciente 008</x:v>
      </x:c>
      <x:c r="D14" s="68" t="n">
        <x:f>IF(B14="","",IFERROR(INDEX(Planos_Contratos!$C$4:$C$203,MATCH(B14,Planos_Contratos!$A$4:$A$203,0)),""))</x:f>
        <x:v>8</x:v>
      </x:c>
      <x:c r="E14" s="72">
        <x:v>46042</x:v>
      </x:c>
      <x:c r="F14" s="104">
        <x:v>0.375</x:v>
      </x:c>
      <x:c r="G14" s="64" t="s">
        <x:v>34</x:v>
      </x:c>
      <x:c r="H14" s="64" t="s">
        <x:v>78</x:v>
      </x:c>
      <x:c r="I14" s="92" t="n">
        <x:f>IF(B14="","",IFERROR(INDEX(Planos_Contratos!$G$4:$G$203,MATCH(B14,Planos_Contratos!$A$4:$A$203,0)),""))</x:f>
        <x:v>180</x:v>
      </x:c>
    </x:row>
    <x:row r="15" ht="20" customHeight="1">
      <x:c r="A15" s="68">
        <x:f t="shared" si="0"/>
        <x:v>12</x:v>
      </x:c>
      <x:c r="B15" s="64">
        <x:v>5</x:v>
      </x:c>
      <x:c r="C15" s="68" t="str">
        <x:f>IF(B15="","",IFERROR(INDEX(Planos_Contratos!$B$4:$B$203,MATCH(B15,Planos_Contratos!$A$4:$A$203,0)),""))</x:f>
        <x:v>Paciente 005</x:v>
      </x:c>
      <x:c r="D15" s="68" t="n">
        <x:f>IF(B15="","",IFERROR(INDEX(Planos_Contratos!$C$4:$C$203,MATCH(B15,Planos_Contratos!$A$4:$A$203,0)),""))</x:f>
        <x:v>5</x:v>
      </x:c>
      <x:c r="E15" s="72">
        <x:v>46043</x:v>
      </x:c>
      <x:c r="F15" s="104">
        <x:v>0.54166666666666663</x:v>
      </x:c>
      <x:c r="G15" s="64" t="s">
        <x:v>34</x:v>
      </x:c>
      <x:c r="H15" s="64" t="s">
        <x:v>78</x:v>
      </x:c>
      <x:c r="I15" s="92" t="n">
        <x:f>IF(B15="","",IFERROR(INDEX(Planos_Contratos!$G$4:$G$203,MATCH(B15,Planos_Contratos!$A$4:$A$203,0)),""))</x:f>
        <x:v>81</x:v>
      </x:c>
    </x:row>
    <x:row r="16" ht="20" customHeight="1">
      <x:c r="A16" s="68">
        <x:f t="shared" si="0"/>
        <x:v>13</x:v>
      </x:c>
      <x:c r="B16" s="64">
        <x:v>5</x:v>
      </x:c>
      <x:c r="C16" s="68" t="str">
        <x:f>IF(B16="","",IFERROR(INDEX(Planos_Contratos!$B$4:$B$203,MATCH(B16,Planos_Contratos!$A$4:$A$203,0)),""))</x:f>
        <x:v>Paciente 005</x:v>
      </x:c>
      <x:c r="D16" s="68" t="n">
        <x:f>IF(B16="","",IFERROR(INDEX(Planos_Contratos!$C$4:$C$203,MATCH(B16,Planos_Contratos!$A$4:$A$203,0)),""))</x:f>
        <x:v>5</x:v>
      </x:c>
      <x:c r="E16" s="72">
        <x:v>46050</x:v>
      </x:c>
      <x:c r="F16" s="104">
        <x:v>0.45833333333333331</x:v>
      </x:c>
      <x:c r="G16" s="64" t="s">
        <x:v>34</x:v>
      </x:c>
      <x:c r="H16" s="64" t="s">
        <x:v>78</x:v>
      </x:c>
      <x:c r="I16" s="92" t="n">
        <x:f>IF(B16="","",IFERROR(INDEX(Planos_Contratos!$G$4:$G$203,MATCH(B16,Planos_Contratos!$A$4:$A$203,0)),""))</x:f>
        <x:v>81</x:v>
      </x:c>
    </x:row>
    <x:row r="17" ht="20" customHeight="1">
      <x:c r="A17" s="68">
        <x:f t="shared" si="0"/>
        <x:v>14</x:v>
      </x:c>
      <x:c r="B17" s="64">
        <x:v>12</x:v>
      </x:c>
      <x:c r="C17" s="68" t="str">
        <x:f>IF(B17="","",IFERROR(INDEX(Planos_Contratos!$B$4:$B$203,MATCH(B17,Planos_Contratos!$A$4:$A$203,0)),""))</x:f>
        <x:v>Paciente 007</x:v>
      </x:c>
      <x:c r="D17" s="68" t="n">
        <x:f>IF(B17="","",IFERROR(INDEX(Planos_Contratos!$C$4:$C$203,MATCH(B17,Planos_Contratos!$A$4:$A$203,0)),""))</x:f>
        <x:v>7</x:v>
      </x:c>
      <x:c r="E17" s="72">
        <x:v>46051</x:v>
      </x:c>
      <x:c r="F17" s="104">
        <x:v>0.75</x:v>
      </x:c>
      <x:c r="G17" s="64" t="s">
        <x:v>34</x:v>
      </x:c>
      <x:c r="H17" s="64" t="s">
        <x:v>78</x:v>
      </x:c>
      <x:c r="I17" s="92" t="n">
        <x:f>IF(B17="","",IFERROR(INDEX(Planos_Contratos!$G$4:$G$203,MATCH(B17,Planos_Contratos!$A$4:$A$203,0)),""))</x:f>
        <x:v>180</x:v>
      </x:c>
    </x:row>
    <x:row r="18" ht="20" customHeight="1">
      <x:c r="A18" s="68">
        <x:f t="shared" si="0"/>
        <x:v>15</x:v>
      </x:c>
      <x:c r="B18" s="64">
        <x:v>7</x:v>
      </x:c>
      <x:c r="C18" s="68" t="str">
        <x:f>IF(B18="","",IFERROR(INDEX(Planos_Contratos!$B$4:$B$203,MATCH(B18,Planos_Contratos!$A$4:$A$203,0)),""))</x:f>
        <x:v>Paciente 007</x:v>
      </x:c>
      <x:c r="D18" s="68" t="n">
        <x:f>IF(B18="","",IFERROR(INDEX(Planos_Contratos!$C$4:$C$203,MATCH(B18,Planos_Contratos!$A$4:$A$203,0)),""))</x:f>
        <x:v>7</x:v>
      </x:c>
      <x:c r="E18" s="72">
        <x:v>46052</x:v>
      </x:c>
      <x:c r="F18" s="104">
        <x:v>0.5625</x:v>
      </x:c>
      <x:c r="G18" s="64" t="s">
        <x:v>34</x:v>
      </x:c>
      <x:c r="H18" s="64" t="s">
        <x:v>78</x:v>
      </x:c>
      <x:c r="I18" s="92" t="n">
        <x:f>IF(B18="","",IFERROR(INDEX(Planos_Contratos!$G$4:$G$203,MATCH(B18,Planos_Contratos!$A$4:$A$203,0)),""))</x:f>
        <x:v>270</x:v>
      </x:c>
    </x:row>
    <x:row r="19" ht="20" customHeight="1">
      <x:c r="A19" s="68">
        <x:f t="shared" si="0"/>
        <x:v>16</x:v>
      </x:c>
      <x:c r="B19" s="64">
        <x:v>4</x:v>
      </x:c>
      <x:c r="C19" s="68" t="str">
        <x:f>IF(B19="","",IFERROR(INDEX(Planos_Contratos!$B$4:$B$203,MATCH(B19,Planos_Contratos!$A$4:$A$203,0)),""))</x:f>
        <x:v>Paciente 004</x:v>
      </x:c>
      <x:c r="D19" s="68" t="n">
        <x:f>IF(B19="","",IFERROR(INDEX(Planos_Contratos!$C$4:$C$203,MATCH(B19,Planos_Contratos!$A$4:$A$203,0)),""))</x:f>
        <x:v>4</x:v>
      </x:c>
      <x:c r="E19" s="72">
        <x:v>46053</x:v>
      </x:c>
      <x:c r="F19" s="104">
        <x:v>0.5625</x:v>
      </x:c>
      <x:c r="G19" s="64" t="s">
        <x:v>34</x:v>
      </x:c>
      <x:c r="H19" s="64" t="s">
        <x:v>78</x:v>
      </x:c>
      <x:c r="I19" s="92" t="n">
        <x:f>IF(B19="","",IFERROR(INDEX(Planos_Contratos!$G$4:$G$203,MATCH(B19,Planos_Contratos!$A$4:$A$203,0)),""))</x:f>
        <x:v>270</x:v>
      </x:c>
    </x:row>
    <x:row r="20" ht="20" customHeight="1">
      <x:c r="A20" s="68">
        <x:f t="shared" si="0"/>
        <x:v>17</x:v>
      </x:c>
      <x:c r="B20" s="64">
        <x:v>3</x:v>
      </x:c>
      <x:c r="C20" s="68" t="str">
        <x:f>IF(B20="","",IFERROR(INDEX(Planos_Contratos!$B$4:$B$203,MATCH(B20,Planos_Contratos!$A$4:$A$203,0)),""))</x:f>
        <x:v>Paciente 003</x:v>
      </x:c>
      <x:c r="D20" s="68" t="n">
        <x:f>IF(B20="","",IFERROR(INDEX(Planos_Contratos!$C$4:$C$203,MATCH(B20,Planos_Contratos!$A$4:$A$203,0)),""))</x:f>
        <x:v>3</x:v>
      </x:c>
      <x:c r="E20" s="72">
        <x:v>46055</x:v>
      </x:c>
      <x:c r="F20" s="104">
        <x:v>0.375</x:v>
      </x:c>
      <x:c r="G20" s="64" t="s">
        <x:v>34</x:v>
      </x:c>
      <x:c r="H20" s="64" t="s">
        <x:v>78</x:v>
      </x:c>
      <x:c r="I20" s="92" t="n">
        <x:f>IF(B20="","",IFERROR(INDEX(Planos_Contratos!$G$4:$G$203,MATCH(B20,Planos_Contratos!$A$4:$A$203,0)),""))</x:f>
        <x:v>180</x:v>
      </x:c>
    </x:row>
    <x:row r="21" ht="20" customHeight="1">
      <x:c r="A21" s="68">
        <x:f t="shared" si="0"/>
        <x:v>18</x:v>
      </x:c>
      <x:c r="B21" s="64">
        <x:v>8</x:v>
      </x:c>
      <x:c r="C21" s="68" t="str">
        <x:f>IF(B21="","",IFERROR(INDEX(Planos_Contratos!$B$4:$B$203,MATCH(B21,Planos_Contratos!$A$4:$A$203,0)),""))</x:f>
        <x:v>Paciente 008</x:v>
      </x:c>
      <x:c r="D21" s="68" t="n">
        <x:f>IF(B21="","",IFERROR(INDEX(Planos_Contratos!$C$4:$C$203,MATCH(B21,Planos_Contratos!$A$4:$A$203,0)),""))</x:f>
        <x:v>8</x:v>
      </x:c>
      <x:c r="E21" s="72">
        <x:v>46056</x:v>
      </x:c>
      <x:c r="F21" s="104">
        <x:v>0.625</x:v>
      </x:c>
      <x:c r="G21" s="64" t="s">
        <x:v>34</x:v>
      </x:c>
      <x:c r="H21" s="64" t="s">
        <x:v>78</x:v>
      </x:c>
      <x:c r="I21" s="92" t="n">
        <x:f>IF(B21="","",IFERROR(INDEX(Planos_Contratos!$G$4:$G$203,MATCH(B21,Planos_Contratos!$A$4:$A$203,0)),""))</x:f>
        <x:v>180</x:v>
      </x:c>
    </x:row>
    <x:row r="22" ht="20" customHeight="1">
      <x:c r="A22" s="68">
        <x:f t="shared" si="0"/>
        <x:v>19</x:v>
      </x:c>
      <x:c r="B22" s="64">
        <x:v>5</x:v>
      </x:c>
      <x:c r="C22" s="68" t="str">
        <x:f>IF(B22="","",IFERROR(INDEX(Planos_Contratos!$B$4:$B$203,MATCH(B22,Planos_Contratos!$A$4:$A$203,0)),""))</x:f>
        <x:v>Paciente 005</x:v>
      </x:c>
      <x:c r="D22" s="68" t="n">
        <x:f>IF(B22="","",IFERROR(INDEX(Planos_Contratos!$C$4:$C$203,MATCH(B22,Planos_Contratos!$A$4:$A$203,0)),""))</x:f>
        <x:v>5</x:v>
      </x:c>
      <x:c r="E22" s="72">
        <x:v>46057</x:v>
      </x:c>
      <x:c r="F22" s="104">
        <x:v>0.77083333333333337</x:v>
      </x:c>
      <x:c r="G22" s="64" t="s">
        <x:v>34</x:v>
      </x:c>
      <x:c r="H22" s="64" t="s">
        <x:v>78</x:v>
      </x:c>
      <x:c r="I22" s="92" t="n">
        <x:f>IF(B22="","",IFERROR(INDEX(Planos_Contratos!$G$4:$G$203,MATCH(B22,Planos_Contratos!$A$4:$A$203,0)),""))</x:f>
        <x:v>81</x:v>
      </x:c>
    </x:row>
    <x:row r="23" ht="20" customHeight="1">
      <x:c r="A23" s="68">
        <x:f t="shared" si="0"/>
        <x:v>20</x:v>
      </x:c>
      <x:c r="B23" s="64">
        <x:v>13</x:v>
      </x:c>
      <x:c r="C23" s="68" t="str">
        <x:f>IF(B23="","",IFERROR(INDEX(Planos_Contratos!$B$4:$B$203,MATCH(B23,Planos_Contratos!$A$4:$A$203,0)),""))</x:f>
        <x:v>Paciente 008</x:v>
      </x:c>
      <x:c r="D23" s="68" t="n">
        <x:f>IF(B23="","",IFERROR(INDEX(Planos_Contratos!$C$4:$C$203,MATCH(B23,Planos_Contratos!$A$4:$A$203,0)),""))</x:f>
        <x:v>8</x:v>
      </x:c>
      <x:c r="E23" s="72">
        <x:v>46062</x:v>
      </x:c>
      <x:c r="F23" s="104">
        <x:v>0.625</x:v>
      </x:c>
      <x:c r="G23" s="64" t="s">
        <x:v>34</x:v>
      </x:c>
      <x:c r="H23" s="64" t="s">
        <x:v>78</x:v>
      </x:c>
      <x:c r="I23" s="92" t="n">
        <x:f>IF(B23="","",IFERROR(INDEX(Planos_Contratos!$G$4:$G$203,MATCH(B23,Planos_Contratos!$A$4:$A$203,0)),""))</x:f>
        <x:v>81</x:v>
      </x:c>
    </x:row>
    <x:row r="24" ht="20" customHeight="1">
      <x:c r="A24" s="68">
        <x:f t="shared" si="0"/>
        <x:v>21</x:v>
      </x:c>
      <x:c r="B24" s="64">
        <x:v>5</x:v>
      </x:c>
      <x:c r="C24" s="68" t="str">
        <x:f>IF(B24="","",IFERROR(INDEX(Planos_Contratos!$B$4:$B$203,MATCH(B24,Planos_Contratos!$A$4:$A$203,0)),""))</x:f>
        <x:v>Paciente 005</x:v>
      </x:c>
      <x:c r="D24" s="68" t="n">
        <x:f>IF(B24="","",IFERROR(INDEX(Planos_Contratos!$C$4:$C$203,MATCH(B24,Planos_Contratos!$A$4:$A$203,0)),""))</x:f>
        <x:v>5</x:v>
      </x:c>
      <x:c r="E24" s="72">
        <x:v>46064</x:v>
      </x:c>
      <x:c r="F24" s="104">
        <x:v>0.77083333333333337</x:v>
      </x:c>
      <x:c r="G24" s="64" t="s">
        <x:v>34</x:v>
      </x:c>
      <x:c r="H24" s="64" t="s">
        <x:v>78</x:v>
      </x:c>
      <x:c r="I24" s="92" t="n">
        <x:f>IF(B24="","",IFERROR(INDEX(Planos_Contratos!$G$4:$G$203,MATCH(B24,Planos_Contratos!$A$4:$A$203,0)),""))</x:f>
        <x:v>81</x:v>
      </x:c>
    </x:row>
    <x:row r="25" ht="20" customHeight="1">
      <x:c r="A25" s="68">
        <x:f t="shared" si="0"/>
        <x:v>22</x:v>
      </x:c>
      <x:c r="B25" s="64">
        <x:v>12</x:v>
      </x:c>
      <x:c r="C25" s="68" t="str">
        <x:f>IF(B25="","",IFERROR(INDEX(Planos_Contratos!$B$4:$B$203,MATCH(B25,Planos_Contratos!$A$4:$A$203,0)),""))</x:f>
        <x:v>Paciente 007</x:v>
      </x:c>
      <x:c r="D25" s="68" t="n">
        <x:f>IF(B25="","",IFERROR(INDEX(Planos_Contratos!$C$4:$C$203,MATCH(B25,Planos_Contratos!$A$4:$A$203,0)),""))</x:f>
        <x:v>7</x:v>
      </x:c>
      <x:c r="E25" s="72">
        <x:v>46065</x:v>
      </x:c>
      <x:c r="F25" s="104">
        <x:v>0.58333333333333337</x:v>
      </x:c>
      <x:c r="G25" s="64" t="s">
        <x:v>34</x:v>
      </x:c>
      <x:c r="H25" s="64" t="s">
        <x:v>78</x:v>
      </x:c>
      <x:c r="I25" s="92" t="n">
        <x:f>IF(B25="","",IFERROR(INDEX(Planos_Contratos!$G$4:$G$203,MATCH(B25,Planos_Contratos!$A$4:$A$203,0)),""))</x:f>
        <x:v>180</x:v>
      </x:c>
    </x:row>
    <x:row r="26" ht="20" customHeight="1">
      <x:c r="A26" s="68">
        <x:f t="shared" si="0"/>
        <x:v>23</x:v>
      </x:c>
      <x:c r="B26" s="64">
        <x:v>7</x:v>
      </x:c>
      <x:c r="C26" s="68" t="str">
        <x:f>IF(B26="","",IFERROR(INDEX(Planos_Contratos!$B$4:$B$203,MATCH(B26,Planos_Contratos!$A$4:$A$203,0)),""))</x:f>
        <x:v>Paciente 007</x:v>
      </x:c>
      <x:c r="D26" s="68" t="n">
        <x:f>IF(B26="","",IFERROR(INDEX(Planos_Contratos!$C$4:$C$203,MATCH(B26,Planos_Contratos!$A$4:$A$203,0)),""))</x:f>
        <x:v>7</x:v>
      </x:c>
      <x:c r="E26" s="72">
        <x:v>46066</x:v>
      </x:c>
      <x:c r="F26" s="104">
        <x:v>0.45833333333333331</x:v>
      </x:c>
      <x:c r="G26" s="64" t="s">
        <x:v>34</x:v>
      </x:c>
      <x:c r="H26" s="64" t="s">
        <x:v>78</x:v>
      </x:c>
      <x:c r="I26" s="92" t="n">
        <x:f>IF(B26="","",IFERROR(INDEX(Planos_Contratos!$G$4:$G$203,MATCH(B26,Planos_Contratos!$A$4:$A$203,0)),""))</x:f>
        <x:v>270</x:v>
      </x:c>
    </x:row>
    <x:row r="27" ht="20" customHeight="1">
      <x:c r="A27" s="68">
        <x:f t="shared" si="0"/>
        <x:v>24</x:v>
      </x:c>
      <x:c r="B27" s="64">
        <x:v>4</x:v>
      </x:c>
      <x:c r="C27" s="68" t="str">
        <x:f>IF(B27="","",IFERROR(INDEX(Planos_Contratos!$B$4:$B$203,MATCH(B27,Planos_Contratos!$A$4:$A$203,0)),""))</x:f>
        <x:v>Paciente 004</x:v>
      </x:c>
      <x:c r="D27" s="68" t="n">
        <x:f>IF(B27="","",IFERROR(INDEX(Planos_Contratos!$C$4:$C$203,MATCH(B27,Planos_Contratos!$A$4:$A$203,0)),""))</x:f>
        <x:v>4</x:v>
      </x:c>
      <x:c r="E27" s="72">
        <x:v>46067</x:v>
      </x:c>
      <x:c r="F27" s="104">
        <x:v>0.58333333333333337</x:v>
      </x:c>
      <x:c r="G27" s="64" t="s">
        <x:v>34</x:v>
      </x:c>
      <x:c r="H27" s="64" t="s">
        <x:v>78</x:v>
      </x:c>
      <x:c r="I27" s="92" t="n">
        <x:f>IF(B27="","",IFERROR(INDEX(Planos_Contratos!$G$4:$G$203,MATCH(B27,Planos_Contratos!$A$4:$A$203,0)),""))</x:f>
        <x:v>270</x:v>
      </x:c>
    </x:row>
    <x:row r="28" ht="20" customHeight="1">
      <x:c r="A28" s="68">
        <x:f t="shared" si="0"/>
        <x:v>25</x:v>
      </x:c>
      <x:c r="B28" s="64">
        <x:v>3</x:v>
      </x:c>
      <x:c r="C28" s="68" t="str">
        <x:f>IF(B28="","",IFERROR(INDEX(Planos_Contratos!$B$4:$B$203,MATCH(B28,Planos_Contratos!$A$4:$A$203,0)),""))</x:f>
        <x:v>Paciente 003</x:v>
      </x:c>
      <x:c r="D28" s="68" t="n">
        <x:f>IF(B28="","",IFERROR(INDEX(Planos_Contratos!$C$4:$C$203,MATCH(B28,Planos_Contratos!$A$4:$A$203,0)),""))</x:f>
        <x:v>3</x:v>
      </x:c>
      <x:c r="E28" s="72">
        <x:v>46069</x:v>
      </x:c>
      <x:c r="F28" s="104">
        <x:v>0.45833333333333331</x:v>
      </x:c>
      <x:c r="G28" s="64" t="s">
        <x:v>34</x:v>
      </x:c>
      <x:c r="H28" s="64" t="s">
        <x:v>78</x:v>
      </x:c>
      <x:c r="I28" s="92" t="n">
        <x:f>IF(B28="","",IFERROR(INDEX(Planos_Contratos!$G$4:$G$203,MATCH(B28,Planos_Contratos!$A$4:$A$203,0)),""))</x:f>
        <x:v>180</x:v>
      </x:c>
    </x:row>
    <x:row r="29" ht="20" customHeight="1">
      <x:c r="A29" s="68">
        <x:f t="shared" si="0"/>
        <x:v>26</x:v>
      </x:c>
      <x:c r="B29" s="64">
        <x:v>13</x:v>
      </x:c>
      <x:c r="C29" s="68" t="str">
        <x:f>IF(B29="","",IFERROR(INDEX(Planos_Contratos!$B$4:$B$203,MATCH(B29,Planos_Contratos!$A$4:$A$203,0)),""))</x:f>
        <x:v>Paciente 008</x:v>
      </x:c>
      <x:c r="D29" s="68" t="n">
        <x:f>IF(B29="","",IFERROR(INDEX(Planos_Contratos!$C$4:$C$203,MATCH(B29,Planos_Contratos!$A$4:$A$203,0)),""))</x:f>
        <x:v>8</x:v>
      </x:c>
      <x:c r="E29" s="72">
        <x:v>46069</x:v>
      </x:c>
      <x:c r="F29" s="104">
        <x:v>0.33333333333333331</x:v>
      </x:c>
      <x:c r="G29" s="64" t="s">
        <x:v>34</x:v>
      </x:c>
      <x:c r="H29" s="64" t="s">
        <x:v>78</x:v>
      </x:c>
      <x:c r="I29" s="92" t="n">
        <x:f>IF(B29="","",IFERROR(INDEX(Planos_Contratos!$G$4:$G$203,MATCH(B29,Planos_Contratos!$A$4:$A$203,0)),""))</x:f>
        <x:v>81</x:v>
      </x:c>
    </x:row>
    <x:row r="30" ht="20" customHeight="1">
      <x:c r="A30" s="68">
        <x:f t="shared" si="0"/>
        <x:v>27</x:v>
      </x:c>
      <x:c r="B30" s="64">
        <x:v>8</x:v>
      </x:c>
      <x:c r="C30" s="68" t="str">
        <x:f>IF(B30="","",IFERROR(INDEX(Planos_Contratos!$B$4:$B$203,MATCH(B30,Planos_Contratos!$A$4:$A$203,0)),""))</x:f>
        <x:v>Paciente 008</x:v>
      </x:c>
      <x:c r="D30" s="68" t="n">
        <x:f>IF(B30="","",IFERROR(INDEX(Planos_Contratos!$C$4:$C$203,MATCH(B30,Planos_Contratos!$A$4:$A$203,0)),""))</x:f>
        <x:v>8</x:v>
      </x:c>
      <x:c r="E30" s="72">
        <x:v>46070</x:v>
      </x:c>
      <x:c r="F30" s="104">
        <x:v>0.64583333333333337</x:v>
      </x:c>
      <x:c r="G30" s="64" t="s">
        <x:v>34</x:v>
      </x:c>
      <x:c r="H30" s="64" t="s">
        <x:v>78</x:v>
      </x:c>
      <x:c r="I30" s="92" t="n">
        <x:f>IF(B30="","",IFERROR(INDEX(Planos_Contratos!$G$4:$G$203,MATCH(B30,Planos_Contratos!$A$4:$A$203,0)),""))</x:f>
        <x:v>180</x:v>
      </x:c>
    </x:row>
    <x:row r="31" ht="20" customHeight="1">
      <x:c r="A31" s="68">
        <x:f t="shared" si="0"/>
        <x:v>28</x:v>
      </x:c>
      <x:c r="B31" s="64">
        <x:v>5</x:v>
      </x:c>
      <x:c r="C31" s="68" t="str">
        <x:f>IF(B31="","",IFERROR(INDEX(Planos_Contratos!$B$4:$B$203,MATCH(B31,Planos_Contratos!$A$4:$A$203,0)),""))</x:f>
        <x:v>Paciente 005</x:v>
      </x:c>
      <x:c r="D31" s="68" t="n">
        <x:f>IF(B31="","",IFERROR(INDEX(Planos_Contratos!$C$4:$C$203,MATCH(B31,Planos_Contratos!$A$4:$A$203,0)),""))</x:f>
        <x:v>5</x:v>
      </x:c>
      <x:c r="E31" s="72">
        <x:v>46071</x:v>
      </x:c>
      <x:c r="F31" s="104">
        <x:v>0.58333333333333337</x:v>
      </x:c>
      <x:c r="G31" s="64" t="s">
        <x:v>34</x:v>
      </x:c>
      <x:c r="H31" s="64" t="s">
        <x:v>78</x:v>
      </x:c>
      <x:c r="I31" s="92" t="n">
        <x:f>IF(B31="","",IFERROR(INDEX(Planos_Contratos!$G$4:$G$203,MATCH(B31,Planos_Contratos!$A$4:$A$203,0)),""))</x:f>
        <x:v>81</x:v>
      </x:c>
    </x:row>
    <x:row r="32" ht="20" customHeight="1">
      <x:c r="A32" s="68">
        <x:f t="shared" si="0"/>
        <x:v>29</x:v>
      </x:c>
      <x:c r="B32" s="64">
        <x:v>13</x:v>
      </x:c>
      <x:c r="C32" s="68" t="str">
        <x:f>IF(B32="","",IFERROR(INDEX(Planos_Contratos!$B$4:$B$203,MATCH(B32,Planos_Contratos!$A$4:$A$203,0)),""))</x:f>
        <x:v>Paciente 008</x:v>
      </x:c>
      <x:c r="D32" s="68" t="n">
        <x:f>IF(B32="","",IFERROR(INDEX(Planos_Contratos!$C$4:$C$203,MATCH(B32,Planos_Contratos!$A$4:$A$203,0)),""))</x:f>
        <x:v>8</x:v>
      </x:c>
      <x:c r="E32" s="72">
        <x:v>46076</x:v>
      </x:c>
      <x:c r="F32" s="104">
        <x:v>0.58333333333333337</x:v>
      </x:c>
      <x:c r="G32" s="64" t="s">
        <x:v>34</x:v>
      </x:c>
      <x:c r="H32" s="64" t="s">
        <x:v>78</x:v>
      </x:c>
      <x:c r="I32" s="92" t="n">
        <x:f>IF(B32="","",IFERROR(INDEX(Planos_Contratos!$G$4:$G$203,MATCH(B32,Planos_Contratos!$A$4:$A$203,0)),""))</x:f>
        <x:v>81</x:v>
      </x:c>
    </x:row>
    <x:row r="33" ht="20" customHeight="1">
      <x:c r="A33" s="68">
        <x:f t="shared" si="0"/>
        <x:v>30</x:v>
      </x:c>
      <x:c r="B33" s="64">
        <x:v>5</x:v>
      </x:c>
      <x:c r="C33" s="68" t="str">
        <x:f>IF(B33="","",IFERROR(INDEX(Planos_Contratos!$B$4:$B$203,MATCH(B33,Planos_Contratos!$A$4:$A$203,0)),""))</x:f>
        <x:v>Paciente 005</x:v>
      </x:c>
      <x:c r="D33" s="68" t="n">
        <x:f>IF(B33="","",IFERROR(INDEX(Planos_Contratos!$C$4:$C$203,MATCH(B33,Planos_Contratos!$A$4:$A$203,0)),""))</x:f>
        <x:v>5</x:v>
      </x:c>
      <x:c r="E33" s="72">
        <x:v>46078</x:v>
      </x:c>
      <x:c r="F33" s="104">
        <x:v>0.4375</x:v>
      </x:c>
      <x:c r="G33" s="64" t="s">
        <x:v>34</x:v>
      </x:c>
      <x:c r="H33" s="64" t="s">
        <x:v>78</x:v>
      </x:c>
      <x:c r="I33" s="92" t="n">
        <x:f>IF(B33="","",IFERROR(INDEX(Planos_Contratos!$G$4:$G$203,MATCH(B33,Planos_Contratos!$A$4:$A$203,0)),""))</x:f>
        <x:v>81</x:v>
      </x:c>
    </x:row>
    <x:row r="34" ht="20" customHeight="1">
      <x:c r="A34" s="68">
        <x:f t="shared" si="0"/>
        <x:v>31</x:v>
      </x:c>
      <x:c r="B34" s="64">
        <x:v>12</x:v>
      </x:c>
      <x:c r="C34" s="68" t="str">
        <x:f>IF(B34="","",IFERROR(INDEX(Planos_Contratos!$B$4:$B$203,MATCH(B34,Planos_Contratos!$A$4:$A$203,0)),""))</x:f>
        <x:v>Paciente 007</x:v>
      </x:c>
      <x:c r="D34" s="68" t="n">
        <x:f>IF(B34="","",IFERROR(INDEX(Planos_Contratos!$C$4:$C$203,MATCH(B34,Planos_Contratos!$A$4:$A$203,0)),""))</x:f>
        <x:v>7</x:v>
      </x:c>
      <x:c r="E34" s="72">
        <x:v>46079</x:v>
      </x:c>
      <x:c r="F34" s="104">
        <x:v>0.5625</x:v>
      </x:c>
      <x:c r="G34" s="64" t="s">
        <x:v>34</x:v>
      </x:c>
      <x:c r="H34" s="64" t="s">
        <x:v>78</x:v>
      </x:c>
      <x:c r="I34" s="92" t="n">
        <x:f>IF(B34="","",IFERROR(INDEX(Planos_Contratos!$G$4:$G$203,MATCH(B34,Planos_Contratos!$A$4:$A$203,0)),""))</x:f>
        <x:v>180</x:v>
      </x:c>
    </x:row>
    <x:row r="35" ht="20" customHeight="1">
      <x:c r="A35" s="68">
        <x:f t="shared" si="0"/>
        <x:v>32</x:v>
      </x:c>
      <x:c r="B35" s="64">
        <x:v>7</x:v>
      </x:c>
      <x:c r="C35" s="68" t="str">
        <x:f>IF(B35="","",IFERROR(INDEX(Planos_Contratos!$B$4:$B$203,MATCH(B35,Planos_Contratos!$A$4:$A$203,0)),""))</x:f>
        <x:v>Paciente 007</x:v>
      </x:c>
      <x:c r="D35" s="68" t="n">
        <x:f>IF(B35="","",IFERROR(INDEX(Planos_Contratos!$C$4:$C$203,MATCH(B35,Planos_Contratos!$A$4:$A$203,0)),""))</x:f>
        <x:v>7</x:v>
      </x:c>
      <x:c r="E35" s="72">
        <x:v>46080</x:v>
      </x:c>
      <x:c r="F35" s="104">
        <x:v>0.5625</x:v>
      </x:c>
      <x:c r="G35" s="64" t="s">
        <x:v>34</x:v>
      </x:c>
      <x:c r="H35" s="64" t="s">
        <x:v>78</x:v>
      </x:c>
      <x:c r="I35" s="92" t="n">
        <x:f>IF(B35="","",IFERROR(INDEX(Planos_Contratos!$G$4:$G$203,MATCH(B35,Planos_Contratos!$A$4:$A$203,0)),""))</x:f>
        <x:v>270</x:v>
      </x:c>
    </x:row>
    <x:row r="36" ht="20" customHeight="1">
      <x:c r="A36" s="68">
        <x:f t="shared" si="0"/>
        <x:v>33</x:v>
      </x:c>
      <x:c r="B36" s="64">
        <x:v>4</x:v>
      </x:c>
      <x:c r="C36" s="68" t="str">
        <x:f>IF(B36="","",IFERROR(INDEX(Planos_Contratos!$B$4:$B$203,MATCH(B36,Planos_Contratos!$A$4:$A$203,0)),""))</x:f>
        <x:v>Paciente 004</x:v>
      </x:c>
      <x:c r="D36" s="68" t="n">
        <x:f>IF(B36="","",IFERROR(INDEX(Planos_Contratos!$C$4:$C$203,MATCH(B36,Planos_Contratos!$A$4:$A$203,0)),""))</x:f>
        <x:v>4</x:v>
      </x:c>
      <x:c r="E36" s="72">
        <x:v>46081</x:v>
      </x:c>
      <x:c r="F36" s="104">
        <x:v>0.58333333333333337</x:v>
      </x:c>
      <x:c r="G36" s="64" t="s">
        <x:v>34</x:v>
      </x:c>
      <x:c r="H36" s="64" t="s">
        <x:v>78</x:v>
      </x:c>
      <x:c r="I36" s="92" t="n">
        <x:f>IF(B36="","",IFERROR(INDEX(Planos_Contratos!$G$4:$G$203,MATCH(B36,Planos_Contratos!$A$4:$A$203,0)),""))</x:f>
        <x:v>270</x:v>
      </x:c>
    </x:row>
    <x:row r="37" ht="20" customHeight="1">
      <x:c r="A37" s="68">
        <x:f t="shared" si="0"/>
        <x:v>34</x:v>
      </x:c>
      <x:c r="B37" s="64">
        <x:v>12</x:v>
      </x:c>
      <x:c r="C37" s="68" t="str">
        <x:f>IF(B37="","",IFERROR(INDEX(Planos_Contratos!$B$4:$B$203,MATCH(B37,Planos_Contratos!$A$4:$A$203,0)),""))</x:f>
        <x:v>Paciente 007</x:v>
      </x:c>
      <x:c r="D37" s="68" t="n">
        <x:f>IF(B37="","",IFERROR(INDEX(Planos_Contratos!$C$4:$C$203,MATCH(B37,Planos_Contratos!$A$4:$A$203,0)),""))</x:f>
        <x:v>7</x:v>
      </x:c>
      <x:c r="E37" s="72">
        <x:v>46081</x:v>
      </x:c>
      <x:c r="F37" s="104">
        <x:v>0.375</x:v>
      </x:c>
      <x:c r="G37" s="64" t="s">
        <x:v>34</x:v>
      </x:c>
      <x:c r="H37" s="64" t="s">
        <x:v>79</x:v>
      </x:c>
      <x:c r="I37" s="92" t="n">
        <x:f>IF(B37="","",IFERROR(INDEX(Planos_Contratos!$G$4:$G$203,MATCH(B37,Planos_Contratos!$A$4:$A$203,0)),""))</x:f>
        <x:v>180</x:v>
      </x:c>
    </x:row>
    <x:row r="38" ht="20" customHeight="1">
      <x:c r="A38" s="68">
        <x:f t="shared" si="0"/>
        <x:v>35</x:v>
      </x:c>
      <x:c r="B38" s="64">
        <x:v>9</x:v>
      </x:c>
      <x:c r="C38" s="68" t="str">
        <x:f>IF(B38="","",IFERROR(INDEX(Planos_Contratos!$B$4:$B$203,MATCH(B38,Planos_Contratos!$A$4:$A$203,0)),""))</x:f>
        <x:v>Paciente 009</x:v>
      </x:c>
      <x:c r="D38" s="68" t="n">
        <x:f>IF(B38="","",IFERROR(INDEX(Planos_Contratos!$C$4:$C$203,MATCH(B38,Planos_Contratos!$A$4:$A$203,0)),""))</x:f>
        <x:v>9</x:v>
      </x:c>
      <x:c r="E38" s="72">
        <x:v>46082</x:v>
      </x:c>
      <x:c r="F38" s="104">
        <x:v>0.375</x:v>
      </x:c>
      <x:c r="G38" s="64" t="s">
        <x:v>37</x:v>
      </x:c>
      <x:c r="H38" s="64" t="s">
        <x:v>78</x:v>
      </x:c>
      <x:c r="I38" s="92" t="n">
        <x:f>IF(B38="","",IFERROR(INDEX(Planos_Contratos!$G$4:$G$203,MATCH(B38,Planos_Contratos!$A$4:$A$203,0)),""))</x:f>
        <x:v>270</x:v>
      </x:c>
    </x:row>
    <x:row r="39" ht="20" customHeight="1">
      <x:c r="A39" s="68">
        <x:f t="shared" si="0"/>
        <x:v>36</x:v>
      </x:c>
      <x:c r="B39" s="64">
        <x:v>3</x:v>
      </x:c>
      <x:c r="C39" s="68" t="str">
        <x:f>IF(B39="","",IFERROR(INDEX(Planos_Contratos!$B$4:$B$203,MATCH(B39,Planos_Contratos!$A$4:$A$203,0)),""))</x:f>
        <x:v>Paciente 003</x:v>
      </x:c>
      <x:c r="D39" s="68" t="n">
        <x:f>IF(B39="","",IFERROR(INDEX(Planos_Contratos!$C$4:$C$203,MATCH(B39,Planos_Contratos!$A$4:$A$203,0)),""))</x:f>
        <x:v>3</x:v>
      </x:c>
      <x:c r="E39" s="72">
        <x:v>46083</x:v>
      </x:c>
      <x:c r="F39" s="104">
        <x:v>0.70833333333333337</x:v>
      </x:c>
      <x:c r="G39" s="64" t="s">
        <x:v>34</x:v>
      </x:c>
      <x:c r="H39" s="64" t="s">
        <x:v>78</x:v>
      </x:c>
      <x:c r="I39" s="92" t="n">
        <x:f>IF(B39="","",IFERROR(INDEX(Planos_Contratos!$G$4:$G$203,MATCH(B39,Planos_Contratos!$A$4:$A$203,0)),""))</x:f>
        <x:v>180</x:v>
      </x:c>
    </x:row>
    <x:row r="40" ht="20" customHeight="1">
      <x:c r="A40" s="68">
        <x:f t="shared" si="0"/>
        <x:v>37</x:v>
      </x:c>
      <x:c r="B40" s="64">
        <x:v>13</x:v>
      </x:c>
      <x:c r="C40" s="68" t="str">
        <x:f>IF(B40="","",IFERROR(INDEX(Planos_Contratos!$B$4:$B$203,MATCH(B40,Planos_Contratos!$A$4:$A$203,0)),""))</x:f>
        <x:v>Paciente 008</x:v>
      </x:c>
      <x:c r="D40" s="68" t="n">
        <x:f>IF(B40="","",IFERROR(INDEX(Planos_Contratos!$C$4:$C$203,MATCH(B40,Planos_Contratos!$A$4:$A$203,0)),""))</x:f>
        <x:v>8</x:v>
      </x:c>
      <x:c r="E40" s="72">
        <x:v>46083</x:v>
      </x:c>
      <x:c r="F40" s="104">
        <x:v>0.54166666666666663</x:v>
      </x:c>
      <x:c r="G40" s="64" t="s">
        <x:v>34</x:v>
      </x:c>
      <x:c r="H40" s="64" t="s">
        <x:v>78</x:v>
      </x:c>
      <x:c r="I40" s="92" t="n">
        <x:f>IF(B40="","",IFERROR(INDEX(Planos_Contratos!$G$4:$G$203,MATCH(B40,Planos_Contratos!$A$4:$A$203,0)),""))</x:f>
        <x:v>81</x:v>
      </x:c>
    </x:row>
    <x:row r="41" ht="20" customHeight="1">
      <x:c r="A41" s="68">
        <x:f t="shared" si="0"/>
        <x:v>38</x:v>
      </x:c>
      <x:c r="B41" s="64">
        <x:v>8</x:v>
      </x:c>
      <x:c r="C41" s="68" t="str">
        <x:f>IF(B41="","",IFERROR(INDEX(Planos_Contratos!$B$4:$B$203,MATCH(B41,Planos_Contratos!$A$4:$A$203,0)),""))</x:f>
        <x:v>Paciente 008</x:v>
      </x:c>
      <x:c r="D41" s="68" t="n">
        <x:f>IF(B41="","",IFERROR(INDEX(Planos_Contratos!$C$4:$C$203,MATCH(B41,Planos_Contratos!$A$4:$A$203,0)),""))</x:f>
        <x:v>8</x:v>
      </x:c>
      <x:c r="E41" s="72">
        <x:v>46084</x:v>
      </x:c>
      <x:c r="F41" s="104">
        <x:v>0.66666666666666663</x:v>
      </x:c>
      <x:c r="G41" s="64" t="s">
        <x:v>34</x:v>
      </x:c>
      <x:c r="H41" s="64" t="s">
        <x:v>78</x:v>
      </x:c>
      <x:c r="I41" s="92" t="n">
        <x:f>IF(B41="","",IFERROR(INDEX(Planos_Contratos!$G$4:$G$203,MATCH(B41,Planos_Contratos!$A$4:$A$203,0)),""))</x:f>
        <x:v>180</x:v>
      </x:c>
    </x:row>
    <x:row r="42" ht="20" customHeight="1">
      <x:c r="A42" s="68">
        <x:f t="shared" si="0"/>
        <x:v>39</x:v>
      </x:c>
      <x:c r="B42" s="64">
        <x:v>5</x:v>
      </x:c>
      <x:c r="C42" s="68" t="str">
        <x:f>IF(B42="","",IFERROR(INDEX(Planos_Contratos!$B$4:$B$203,MATCH(B42,Planos_Contratos!$A$4:$A$203,0)),""))</x:f>
        <x:v>Paciente 005</x:v>
      </x:c>
      <x:c r="D42" s="68" t="n">
        <x:f>IF(B42="","",IFERROR(INDEX(Planos_Contratos!$C$4:$C$203,MATCH(B42,Planos_Contratos!$A$4:$A$203,0)),""))</x:f>
        <x:v>5</x:v>
      </x:c>
      <x:c r="E42" s="72">
        <x:v>46085</x:v>
      </x:c>
      <x:c r="F42" s="104">
        <x:v>0.375</x:v>
      </x:c>
      <x:c r="G42" s="64" t="s">
        <x:v>34</x:v>
      </x:c>
      <x:c r="H42" s="64" t="s">
        <x:v>78</x:v>
      </x:c>
      <x:c r="I42" s="92" t="n">
        <x:f>IF(B42="","",IFERROR(INDEX(Planos_Contratos!$G$4:$G$203,MATCH(B42,Planos_Contratos!$A$4:$A$203,0)),""))</x:f>
        <x:v>81</x:v>
      </x:c>
    </x:row>
    <x:row r="43" ht="20" customHeight="1">
      <x:c r="A43" s="68">
        <x:f t="shared" si="0"/>
        <x:v>40</x:v>
      </x:c>
      <x:c r="B43" s="64">
        <x:v>13</x:v>
      </x:c>
      <x:c r="C43" s="68" t="str">
        <x:f>IF(B43="","",IFERROR(INDEX(Planos_Contratos!$B$4:$B$203,MATCH(B43,Planos_Contratos!$A$4:$A$203,0)),""))</x:f>
        <x:v>Paciente 008</x:v>
      </x:c>
      <x:c r="D43" s="68" t="n">
        <x:f>IF(B43="","",IFERROR(INDEX(Planos_Contratos!$C$4:$C$203,MATCH(B43,Planos_Contratos!$A$4:$A$203,0)),""))</x:f>
        <x:v>8</x:v>
      </x:c>
      <x:c r="E43" s="72">
        <x:v>46090</x:v>
      </x:c>
      <x:c r="F43" s="104">
        <x:v>0.6875</x:v>
      </x:c>
      <x:c r="G43" s="64" t="s">
        <x:v>34</x:v>
      </x:c>
      <x:c r="H43" s="64" t="s">
        <x:v>78</x:v>
      </x:c>
      <x:c r="I43" s="92" t="n">
        <x:f>IF(B43="","",IFERROR(INDEX(Planos_Contratos!$G$4:$G$203,MATCH(B43,Planos_Contratos!$A$4:$A$203,0)),""))</x:f>
        <x:v>81</x:v>
      </x:c>
    </x:row>
    <x:row r="44" ht="20" customHeight="1">
      <x:c r="A44" s="68">
        <x:f t="shared" si="0"/>
        <x:v>41</x:v>
      </x:c>
      <x:c r="B44" s="64">
        <x:v>5</x:v>
      </x:c>
      <x:c r="C44" s="68" t="str">
        <x:f>IF(B44="","",IFERROR(INDEX(Planos_Contratos!$B$4:$B$203,MATCH(B44,Planos_Contratos!$A$4:$A$203,0)),""))</x:f>
        <x:v>Paciente 005</x:v>
      </x:c>
      <x:c r="D44" s="68" t="n">
        <x:f>IF(B44="","",IFERROR(INDEX(Planos_Contratos!$C$4:$C$203,MATCH(B44,Planos_Contratos!$A$4:$A$203,0)),""))</x:f>
        <x:v>5</x:v>
      </x:c>
      <x:c r="E44" s="72">
        <x:v>46092</x:v>
      </x:c>
      <x:c r="F44" s="104">
        <x:v>0.375</x:v>
      </x:c>
      <x:c r="G44" s="64" t="s">
        <x:v>34</x:v>
      </x:c>
      <x:c r="H44" s="64" t="s">
        <x:v>78</x:v>
      </x:c>
      <x:c r="I44" s="92" t="n">
        <x:f>IF(B44="","",IFERROR(INDEX(Planos_Contratos!$G$4:$G$203,MATCH(B44,Planos_Contratos!$A$4:$A$203,0)),""))</x:f>
        <x:v>81</x:v>
      </x:c>
    </x:row>
    <x:row r="45" ht="20" customHeight="1">
      <x:c r="A45" s="68">
        <x:f t="shared" si="0"/>
        <x:v>42</x:v>
      </x:c>
      <x:c r="B45" s="64">
        <x:v>14</x:v>
      </x:c>
      <x:c r="C45" s="68" t="str">
        <x:f>IF(B45="","",IFERROR(INDEX(Planos_Contratos!$B$4:$B$203,MATCH(B45,Planos_Contratos!$A$4:$A$203,0)),""))</x:f>
        <x:v>Paciente 005</x:v>
      </x:c>
      <x:c r="D45" s="68" t="n">
        <x:f>IF(B45="","",IFERROR(INDEX(Planos_Contratos!$C$4:$C$203,MATCH(B45,Planos_Contratos!$A$4:$A$203,0)),""))</x:f>
        <x:v>5</x:v>
      </x:c>
      <x:c r="E45" s="72">
        <x:v>46093</x:v>
      </x:c>
      <x:c r="F45" s="104">
        <x:v>0.625</x:v>
      </x:c>
      <x:c r="G45" s="64" t="s">
        <x:v>34</x:v>
      </x:c>
      <x:c r="H45" s="64" t="s">
        <x:v>78</x:v>
      </x:c>
      <x:c r="I45" s="92" t="n">
        <x:f>IF(B45="","",IFERROR(INDEX(Planos_Contratos!$G$4:$G$203,MATCH(B45,Planos_Contratos!$A$4:$A$203,0)),""))</x:f>
        <x:v>180</x:v>
      </x:c>
    </x:row>
    <x:row r="46" ht="20" customHeight="1">
      <x:c r="A46" s="68">
        <x:f t="shared" si="0"/>
        <x:v>43</x:v>
      </x:c>
      <x:c r="B46" s="64">
        <x:v>7</x:v>
      </x:c>
      <x:c r="C46" s="68" t="str">
        <x:f>IF(B46="","",IFERROR(INDEX(Planos_Contratos!$B$4:$B$203,MATCH(B46,Planos_Contratos!$A$4:$A$203,0)),""))</x:f>
        <x:v>Paciente 007</x:v>
      </x:c>
      <x:c r="D46" s="68" t="n">
        <x:f>IF(B46="","",IFERROR(INDEX(Planos_Contratos!$C$4:$C$203,MATCH(B46,Planos_Contratos!$A$4:$A$203,0)),""))</x:f>
        <x:v>7</x:v>
      </x:c>
      <x:c r="E46" s="72">
        <x:v>46094</x:v>
      </x:c>
      <x:c r="F46" s="104">
        <x:v>0.60416666666666663</x:v>
      </x:c>
      <x:c r="G46" s="64" t="s">
        <x:v>34</x:v>
      </x:c>
      <x:c r="H46" s="64" t="s">
        <x:v>78</x:v>
      </x:c>
      <x:c r="I46" s="92" t="n">
        <x:f>IF(B46="","",IFERROR(INDEX(Planos_Contratos!$G$4:$G$203,MATCH(B46,Planos_Contratos!$A$4:$A$203,0)),""))</x:f>
        <x:v>270</x:v>
      </x:c>
    </x:row>
    <x:row r="47" ht="20" customHeight="1">
      <x:c r="A47" s="68">
        <x:f t="shared" si="0"/>
        <x:v>44</x:v>
      </x:c>
      <x:c r="B47" s="64">
        <x:v>4</x:v>
      </x:c>
      <x:c r="C47" s="68" t="str">
        <x:f>IF(B47="","",IFERROR(INDEX(Planos_Contratos!$B$4:$B$203,MATCH(B47,Planos_Contratos!$A$4:$A$203,0)),""))</x:f>
        <x:v>Paciente 004</x:v>
      </x:c>
      <x:c r="D47" s="68" t="n">
        <x:f>IF(B47="","",IFERROR(INDEX(Planos_Contratos!$C$4:$C$203,MATCH(B47,Planos_Contratos!$A$4:$A$203,0)),""))</x:f>
        <x:v>4</x:v>
      </x:c>
      <x:c r="E47" s="72">
        <x:v>46095</x:v>
      </x:c>
      <x:c r="F47" s="104">
        <x:v>0.45833333333333331</x:v>
      </x:c>
      <x:c r="G47" s="64" t="s">
        <x:v>34</x:v>
      </x:c>
      <x:c r="H47" s="64" t="s">
        <x:v>78</x:v>
      </x:c>
      <x:c r="I47" s="92" t="n">
        <x:f>IF(B47="","",IFERROR(INDEX(Planos_Contratos!$G$4:$G$203,MATCH(B47,Planos_Contratos!$A$4:$A$203,0)),""))</x:f>
        <x:v>270</x:v>
      </x:c>
    </x:row>
    <x:row r="48" ht="20" customHeight="1">
      <x:c r="A48" s="68">
        <x:f t="shared" si="0"/>
        <x:v>45</x:v>
      </x:c>
      <x:c r="B48" s="64">
        <x:v>9</x:v>
      </x:c>
      <x:c r="C48" s="68" t="str">
        <x:f>IF(B48="","",IFERROR(INDEX(Planos_Contratos!$B$4:$B$203,MATCH(B48,Planos_Contratos!$A$4:$A$203,0)),""))</x:f>
        <x:v>Paciente 009</x:v>
      </x:c>
      <x:c r="D48" s="68" t="n">
        <x:f>IF(B48="","",IFERROR(INDEX(Planos_Contratos!$C$4:$C$203,MATCH(B48,Planos_Contratos!$A$4:$A$203,0)),""))</x:f>
        <x:v>9</x:v>
      </x:c>
      <x:c r="E48" s="72">
        <x:v>46096</x:v>
      </x:c>
      <x:c r="F48" s="104">
        <x:v>0.625</x:v>
      </x:c>
      <x:c r="G48" s="64" t="s">
        <x:v>37</x:v>
      </x:c>
      <x:c r="H48" s="64" t="s">
        <x:v>78</x:v>
      </x:c>
      <x:c r="I48" s="92" t="n">
        <x:f>IF(B48="","",IFERROR(INDEX(Planos_Contratos!$G$4:$G$203,MATCH(B48,Planos_Contratos!$A$4:$A$203,0)),""))</x:f>
        <x:v>270</x:v>
      </x:c>
    </x:row>
    <x:row r="49" ht="20" customHeight="1">
      <x:c r="A49" s="68">
        <x:f t="shared" si="0"/>
        <x:v>46</x:v>
      </x:c>
      <x:c r="B49" s="64">
        <x:v>3</x:v>
      </x:c>
      <x:c r="C49" s="68" t="str">
        <x:f>IF(B49="","",IFERROR(INDEX(Planos_Contratos!$B$4:$B$203,MATCH(B49,Planos_Contratos!$A$4:$A$203,0)),""))</x:f>
        <x:v>Paciente 003</x:v>
      </x:c>
      <x:c r="D49" s="68" t="n">
        <x:f>IF(B49="","",IFERROR(INDEX(Planos_Contratos!$C$4:$C$203,MATCH(B49,Planos_Contratos!$A$4:$A$203,0)),""))</x:f>
        <x:v>3</x:v>
      </x:c>
      <x:c r="E49" s="72">
        <x:v>46097</x:v>
      </x:c>
      <x:c r="F49" s="104">
        <x:v>0.72916666666666663</x:v>
      </x:c>
      <x:c r="G49" s="64" t="s">
        <x:v>34</x:v>
      </x:c>
      <x:c r="H49" s="64" t="s">
        <x:v>78</x:v>
      </x:c>
      <x:c r="I49" s="92" t="n">
        <x:f>IF(B49="","",IFERROR(INDEX(Planos_Contratos!$G$4:$G$203,MATCH(B49,Planos_Contratos!$A$4:$A$203,0)),""))</x:f>
        <x:v>180</x:v>
      </x:c>
    </x:row>
    <x:row r="50" ht="20" customHeight="1">
      <x:c r="A50" s="68">
        <x:f t="shared" si="0"/>
        <x:v>47</x:v>
      </x:c>
      <x:c r="B50" s="64">
        <x:v>13</x:v>
      </x:c>
      <x:c r="C50" s="68" t="str">
        <x:f>IF(B50="","",IFERROR(INDEX(Planos_Contratos!$B$4:$B$203,MATCH(B50,Planos_Contratos!$A$4:$A$203,0)),""))</x:f>
        <x:v>Paciente 008</x:v>
      </x:c>
      <x:c r="D50" s="68" t="n">
        <x:f>IF(B50="","",IFERROR(INDEX(Planos_Contratos!$C$4:$C$203,MATCH(B50,Planos_Contratos!$A$4:$A$203,0)),""))</x:f>
        <x:v>8</x:v>
      </x:c>
      <x:c r="E50" s="72">
        <x:v>46097</x:v>
      </x:c>
      <x:c r="F50" s="104">
        <x:v>0.70833333333333337</x:v>
      </x:c>
      <x:c r="G50" s="64" t="s">
        <x:v>34</x:v>
      </x:c>
      <x:c r="H50" s="64" t="s">
        <x:v>78</x:v>
      </x:c>
      <x:c r="I50" s="92" t="n">
        <x:f>IF(B50="","",IFERROR(INDEX(Planos_Contratos!$G$4:$G$203,MATCH(B50,Planos_Contratos!$A$4:$A$203,0)),""))</x:f>
        <x:v>81</x:v>
      </x:c>
    </x:row>
    <x:row r="51" ht="20" customHeight="1">
      <x:c r="A51" s="68">
        <x:f t="shared" si="0"/>
        <x:v>48</x:v>
      </x:c>
      <x:c r="B51" s="64">
        <x:v>8</x:v>
      </x:c>
      <x:c r="C51" s="68" t="str">
        <x:f>IF(B51="","",IFERROR(INDEX(Planos_Contratos!$B$4:$B$203,MATCH(B51,Planos_Contratos!$A$4:$A$203,0)),""))</x:f>
        <x:v>Paciente 008</x:v>
      </x:c>
      <x:c r="D51" s="68" t="n">
        <x:f>IF(B51="","",IFERROR(INDEX(Planos_Contratos!$C$4:$C$203,MATCH(B51,Planos_Contratos!$A$4:$A$203,0)),""))</x:f>
        <x:v>8</x:v>
      </x:c>
      <x:c r="E51" s="72">
        <x:v>46098</x:v>
      </x:c>
      <x:c r="F51" s="104">
        <x:v>0.375</x:v>
      </x:c>
      <x:c r="G51" s="64" t="s">
        <x:v>34</x:v>
      </x:c>
      <x:c r="H51" s="64" t="s">
        <x:v>78</x:v>
      </x:c>
      <x:c r="I51" s="92" t="n">
        <x:f>IF(B51="","",IFERROR(INDEX(Planos_Contratos!$G$4:$G$203,MATCH(B51,Planos_Contratos!$A$4:$A$203,0)),""))</x:f>
        <x:v>180</x:v>
      </x:c>
    </x:row>
    <x:row r="52" ht="20" customHeight="1">
      <x:c r="A52" s="68">
        <x:f t="shared" si="0"/>
        <x:v>49</x:v>
      </x:c>
      <x:c r="B52" s="64">
        <x:v>5</x:v>
      </x:c>
      <x:c r="C52" s="68" t="str">
        <x:f>IF(B52="","",IFERROR(INDEX(Planos_Contratos!$B$4:$B$203,MATCH(B52,Planos_Contratos!$A$4:$A$203,0)),""))</x:f>
        <x:v>Paciente 005</x:v>
      </x:c>
      <x:c r="D52" s="68" t="n">
        <x:f>IF(B52="","",IFERROR(INDEX(Planos_Contratos!$C$4:$C$203,MATCH(B52,Planos_Contratos!$A$4:$A$203,0)),""))</x:f>
        <x:v>5</x:v>
      </x:c>
      <x:c r="E52" s="72">
        <x:v>46099</x:v>
      </x:c>
      <x:c r="F52" s="104">
        <x:v>0.4375</x:v>
      </x:c>
      <x:c r="G52" s="64" t="s">
        <x:v>34</x:v>
      </x:c>
      <x:c r="H52" s="64" t="s">
        <x:v>78</x:v>
      </x:c>
      <x:c r="I52" s="92" t="n">
        <x:f>IF(B52="","",IFERROR(INDEX(Planos_Contratos!$G$4:$G$203,MATCH(B52,Planos_Contratos!$A$4:$A$203,0)),""))</x:f>
        <x:v>81</x:v>
      </x:c>
    </x:row>
    <x:row r="53" ht="20" customHeight="1">
      <x:c r="A53" s="68">
        <x:f t="shared" si="0"/>
        <x:v>50</x:v>
      </x:c>
      <x:c r="B53" s="64">
        <x:v>13</x:v>
      </x:c>
      <x:c r="C53" s="68" t="str">
        <x:f>IF(B53="","",IFERROR(INDEX(Planos_Contratos!$B$4:$B$203,MATCH(B53,Planos_Contratos!$A$4:$A$203,0)),""))</x:f>
        <x:v>Paciente 008</x:v>
      </x:c>
      <x:c r="D53" s="68" t="n">
        <x:f>IF(B53="","",IFERROR(INDEX(Planos_Contratos!$C$4:$C$203,MATCH(B53,Planos_Contratos!$A$4:$A$203,0)),""))</x:f>
        <x:v>8</x:v>
      </x:c>
      <x:c r="E53" s="72">
        <x:v>46104</x:v>
      </x:c>
      <x:c r="F53" s="104">
        <x:v>0.375</x:v>
      </x:c>
      <x:c r="G53" s="64" t="s">
        <x:v>34</x:v>
      </x:c>
      <x:c r="H53" s="64" t="s">
        <x:v>78</x:v>
      </x:c>
      <x:c r="I53" s="92" t="n">
        <x:f>IF(B53="","",IFERROR(INDEX(Planos_Contratos!$G$4:$G$203,MATCH(B53,Planos_Contratos!$A$4:$A$203,0)),""))</x:f>
        <x:v>81</x:v>
      </x:c>
    </x:row>
    <x:row r="54" ht="20" customHeight="1">
      <x:c r="A54" s="68">
        <x:f t="shared" si="0"/>
        <x:v>51</x:v>
      </x:c>
      <x:c r="B54" s="64">
        <x:v>5</x:v>
      </x:c>
      <x:c r="C54" s="68" t="str">
        <x:f>IF(B54="","",IFERROR(INDEX(Planos_Contratos!$B$4:$B$203,MATCH(B54,Planos_Contratos!$A$4:$A$203,0)),""))</x:f>
        <x:v>Paciente 005</x:v>
      </x:c>
      <x:c r="D54" s="68" t="n">
        <x:f>IF(B54="","",IFERROR(INDEX(Planos_Contratos!$C$4:$C$203,MATCH(B54,Planos_Contratos!$A$4:$A$203,0)),""))</x:f>
        <x:v>5</x:v>
      </x:c>
      <x:c r="E54" s="72">
        <x:v>46106</x:v>
      </x:c>
      <x:c r="F54" s="104">
        <x:v>0.75</x:v>
      </x:c>
      <x:c r="G54" s="64" t="s">
        <x:v>34</x:v>
      </x:c>
      <x:c r="H54" s="64" t="s">
        <x:v>78</x:v>
      </x:c>
      <x:c r="I54" s="92" t="n">
        <x:f>IF(B54="","",IFERROR(INDEX(Planos_Contratos!$G$4:$G$203,MATCH(B54,Planos_Contratos!$A$4:$A$203,0)),""))</x:f>
        <x:v>81</x:v>
      </x:c>
    </x:row>
    <x:row r="55" ht="20" customHeight="1">
      <x:c r="A55" s="68">
        <x:f t="shared" si="0"/>
        <x:v>52</x:v>
      </x:c>
      <x:c r="B55" s="64">
        <x:v>14</x:v>
      </x:c>
      <x:c r="C55" s="68" t="str">
        <x:f>IF(B55="","",IFERROR(INDEX(Planos_Contratos!$B$4:$B$203,MATCH(B55,Planos_Contratos!$A$4:$A$203,0)),""))</x:f>
        <x:v>Paciente 005</x:v>
      </x:c>
      <x:c r="D55" s="68" t="n">
        <x:f>IF(B55="","",IFERROR(INDEX(Planos_Contratos!$C$4:$C$203,MATCH(B55,Planos_Contratos!$A$4:$A$203,0)),""))</x:f>
        <x:v>5</x:v>
      </x:c>
      <x:c r="E55" s="72">
        <x:v>46107</x:v>
      </x:c>
      <x:c r="F55" s="104">
        <x:v>0.33333333333333331</x:v>
      </x:c>
      <x:c r="G55" s="64" t="s">
        <x:v>34</x:v>
      </x:c>
      <x:c r="H55" s="64" t="s">
        <x:v>78</x:v>
      </x:c>
      <x:c r="I55" s="92" t="n">
        <x:f>IF(B55="","",IFERROR(INDEX(Planos_Contratos!$G$4:$G$203,MATCH(B55,Planos_Contratos!$A$4:$A$203,0)),""))</x:f>
        <x:v>180</x:v>
      </x:c>
    </x:row>
    <x:row r="56" ht="20" customHeight="1">
      <x:c r="A56" s="68">
        <x:f t="shared" si="0"/>
        <x:v>53</x:v>
      </x:c>
      <x:c r="B56" s="64">
        <x:v>7</x:v>
      </x:c>
      <x:c r="C56" s="68" t="str">
        <x:f>IF(B56="","",IFERROR(INDEX(Planos_Contratos!$B$4:$B$203,MATCH(B56,Planos_Contratos!$A$4:$A$203,0)),""))</x:f>
        <x:v>Paciente 007</x:v>
      </x:c>
      <x:c r="D56" s="68" t="n">
        <x:f>IF(B56="","",IFERROR(INDEX(Planos_Contratos!$C$4:$C$203,MATCH(B56,Planos_Contratos!$A$4:$A$203,0)),""))</x:f>
        <x:v>7</x:v>
      </x:c>
      <x:c r="E56" s="72">
        <x:v>46108</x:v>
      </x:c>
      <x:c r="F56" s="104">
        <x:v>0.72916666666666663</x:v>
      </x:c>
      <x:c r="G56" s="64" t="s">
        <x:v>34</x:v>
      </x:c>
      <x:c r="H56" s="64" t="s">
        <x:v>78</x:v>
      </x:c>
      <x:c r="I56" s="92" t="n">
        <x:f>IF(B56="","",IFERROR(INDEX(Planos_Contratos!$G$4:$G$203,MATCH(B56,Planos_Contratos!$A$4:$A$203,0)),""))</x:f>
        <x:v>270</x:v>
      </x:c>
    </x:row>
    <x:row r="57" ht="20" customHeight="1">
      <x:c r="A57" s="68">
        <x:f t="shared" si="0"/>
        <x:v>54</x:v>
      </x:c>
      <x:c r="B57" s="64">
        <x:v>4</x:v>
      </x:c>
      <x:c r="C57" s="68" t="str">
        <x:f>IF(B57="","",IFERROR(INDEX(Planos_Contratos!$B$4:$B$203,MATCH(B57,Planos_Contratos!$A$4:$A$203,0)),""))</x:f>
        <x:v>Paciente 004</x:v>
      </x:c>
      <x:c r="D57" s="68" t="n">
        <x:f>IF(B57="","",IFERROR(INDEX(Planos_Contratos!$C$4:$C$203,MATCH(B57,Planos_Contratos!$A$4:$A$203,0)),""))</x:f>
        <x:v>4</x:v>
      </x:c>
      <x:c r="E57" s="72">
        <x:v>46109</x:v>
      </x:c>
      <x:c r="F57" s="104">
        <x:v>0.375</x:v>
      </x:c>
      <x:c r="G57" s="64" t="s">
        <x:v>34</x:v>
      </x:c>
      <x:c r="H57" s="64" t="s">
        <x:v>78</x:v>
      </x:c>
      <x:c r="I57" s="92" t="n">
        <x:f>IF(B57="","",IFERROR(INDEX(Planos_Contratos!$G$4:$G$203,MATCH(B57,Planos_Contratos!$A$4:$A$203,0)),""))</x:f>
        <x:v>270</x:v>
      </x:c>
    </x:row>
    <x:row r="58" ht="20" customHeight="1">
      <x:c r="A58" s="68">
        <x:f t="shared" si="0"/>
        <x:v>55</x:v>
      </x:c>
      <x:c r="B58" s="64">
        <x:v>9</x:v>
      </x:c>
      <x:c r="C58" s="68" t="str">
        <x:f>IF(B58="","",IFERROR(INDEX(Planos_Contratos!$B$4:$B$203,MATCH(B58,Planos_Contratos!$A$4:$A$203,0)),""))</x:f>
        <x:v>Paciente 009</x:v>
      </x:c>
      <x:c r="D58" s="68" t="n">
        <x:f>IF(B58="","",IFERROR(INDEX(Planos_Contratos!$C$4:$C$203,MATCH(B58,Planos_Contratos!$A$4:$A$203,0)),""))</x:f>
        <x:v>9</x:v>
      </x:c>
      <x:c r="E58" s="72">
        <x:v>46110</x:v>
      </x:c>
      <x:c r="F58" s="104">
        <x:v>0.75</x:v>
      </x:c>
      <x:c r="G58" s="64" t="s">
        <x:v>37</x:v>
      </x:c>
      <x:c r="H58" s="64" t="s">
        <x:v>78</x:v>
      </x:c>
      <x:c r="I58" s="92" t="n">
        <x:f>IF(B58="","",IFERROR(INDEX(Planos_Contratos!$G$4:$G$203,MATCH(B58,Planos_Contratos!$A$4:$A$203,0)),""))</x:f>
        <x:v>270</x:v>
      </x:c>
    </x:row>
    <x:row r="59" ht="20" customHeight="1">
      <x:c r="A59" s="68">
        <x:f t="shared" si="0"/>
        <x:v>56</x:v>
      </x:c>
      <x:c r="B59" s="64">
        <x:v>3</x:v>
      </x:c>
      <x:c r="C59" s="68" t="str">
        <x:f>IF(B59="","",IFERROR(INDEX(Planos_Contratos!$B$4:$B$203,MATCH(B59,Planos_Contratos!$A$4:$A$203,0)),""))</x:f>
        <x:v>Paciente 003</x:v>
      </x:c>
      <x:c r="D59" s="68" t="n">
        <x:f>IF(B59="","",IFERROR(INDEX(Planos_Contratos!$C$4:$C$203,MATCH(B59,Planos_Contratos!$A$4:$A$203,0)),""))</x:f>
        <x:v>3</x:v>
      </x:c>
      <x:c r="E59" s="72">
        <x:v>46111</x:v>
      </x:c>
      <x:c r="F59" s="104">
        <x:v>0.47916666666666669</x:v>
      </x:c>
      <x:c r="G59" s="64" t="s">
        <x:v>34</x:v>
      </x:c>
      <x:c r="H59" s="64" t="s">
        <x:v>78</x:v>
      </x:c>
      <x:c r="I59" s="92" t="n">
        <x:f>IF(B59="","",IFERROR(INDEX(Planos_Contratos!$G$4:$G$203,MATCH(B59,Planos_Contratos!$A$4:$A$203,0)),""))</x:f>
        <x:v>180</x:v>
      </x:c>
    </x:row>
    <x:row r="60" ht="20" customHeight="1">
      <x:c r="A60" s="68">
        <x:f t="shared" si="0"/>
        <x:v>57</x:v>
      </x:c>
      <x:c r="B60" s="64">
        <x:v>13</x:v>
      </x:c>
      <x:c r="C60" s="68" t="str">
        <x:f>IF(B60="","",IFERROR(INDEX(Planos_Contratos!$B$4:$B$203,MATCH(B60,Planos_Contratos!$A$4:$A$203,0)),""))</x:f>
        <x:v>Paciente 008</x:v>
      </x:c>
      <x:c r="D60" s="68" t="n">
        <x:f>IF(B60="","",IFERROR(INDEX(Planos_Contratos!$C$4:$C$203,MATCH(B60,Planos_Contratos!$A$4:$A$203,0)),""))</x:f>
        <x:v>8</x:v>
      </x:c>
      <x:c r="E60" s="72">
        <x:v>46111</x:v>
      </x:c>
      <x:c r="F60" s="104">
        <x:v>0.41666666666666669</x:v>
      </x:c>
      <x:c r="G60" s="64" t="s">
        <x:v>34</x:v>
      </x:c>
      <x:c r="H60" s="64" t="s">
        <x:v>78</x:v>
      </x:c>
      <x:c r="I60" s="92" t="n">
        <x:f>IF(B60="","",IFERROR(INDEX(Planos_Contratos!$G$4:$G$203,MATCH(B60,Planos_Contratos!$A$4:$A$203,0)),""))</x:f>
        <x:v>81</x:v>
      </x:c>
    </x:row>
    <x:row r="61" ht="20" customHeight="1">
      <x:c r="A61" s="68">
        <x:f t="shared" si="0"/>
        <x:v>58</x:v>
      </x:c>
      <x:c r="B61" s="64">
        <x:v>8</x:v>
      </x:c>
      <x:c r="C61" s="68" t="str">
        <x:f>IF(B61="","",IFERROR(INDEX(Planos_Contratos!$B$4:$B$203,MATCH(B61,Planos_Contratos!$A$4:$A$203,0)),""))</x:f>
        <x:v>Paciente 008</x:v>
      </x:c>
      <x:c r="D61" s="68" t="n">
        <x:f>IF(B61="","",IFERROR(INDEX(Planos_Contratos!$C$4:$C$203,MATCH(B61,Planos_Contratos!$A$4:$A$203,0)),""))</x:f>
        <x:v>8</x:v>
      </x:c>
      <x:c r="E61" s="72">
        <x:v>46112</x:v>
      </x:c>
      <x:c r="F61" s="104">
        <x:v>0.625</x:v>
      </x:c>
      <x:c r="G61" s="64" t="s">
        <x:v>34</x:v>
      </x:c>
      <x:c r="H61" s="64" t="s">
        <x:v>78</x:v>
      </x:c>
      <x:c r="I61" s="92" t="n">
        <x:f>IF(B61="","",IFERROR(INDEX(Planos_Contratos!$G$4:$G$203,MATCH(B61,Planos_Contratos!$A$4:$A$203,0)),""))</x:f>
        <x:v>180</x:v>
      </x:c>
    </x:row>
    <x:row r="62" ht="20" customHeight="1">
      <x:c r="A62" s="68">
        <x:f t="shared" si="0"/>
        <x:v>59</x:v>
      </x:c>
      <x:c r="B62" s="64">
        <x:v>5</x:v>
      </x:c>
      <x:c r="C62" s="68" t="str">
        <x:f>IF(B62="","",IFERROR(INDEX(Planos_Contratos!$B$4:$B$203,MATCH(B62,Planos_Contratos!$A$4:$A$203,0)),""))</x:f>
        <x:v>Paciente 005</x:v>
      </x:c>
      <x:c r="D62" s="68" t="n">
        <x:f>IF(B62="","",IFERROR(INDEX(Planos_Contratos!$C$4:$C$203,MATCH(B62,Planos_Contratos!$A$4:$A$203,0)),""))</x:f>
        <x:v>5</x:v>
      </x:c>
      <x:c r="E62" s="72">
        <x:v>46113</x:v>
      </x:c>
      <x:c r="F62" s="104">
        <x:v>0.64583333333333337</x:v>
      </x:c>
      <x:c r="G62" s="64" t="s">
        <x:v>34</x:v>
      </x:c>
      <x:c r="H62" s="64" t="s">
        <x:v>78</x:v>
      </x:c>
      <x:c r="I62" s="92" t="n">
        <x:f>IF(B62="","",IFERROR(INDEX(Planos_Contratos!$G$4:$G$203,MATCH(B62,Planos_Contratos!$A$4:$A$203,0)),""))</x:f>
        <x:v>81</x:v>
      </x:c>
    </x:row>
    <x:row r="63" ht="20" customHeight="1">
      <x:c r="A63" s="68">
        <x:f t="shared" si="0"/>
        <x:v>60</x:v>
      </x:c>
      <x:c r="B63" s="64">
        <x:v>5</x:v>
      </x:c>
      <x:c r="C63" s="68" t="str">
        <x:f>IF(B63="","",IFERROR(INDEX(Planos_Contratos!$B$4:$B$203,MATCH(B63,Planos_Contratos!$A$4:$A$203,0)),""))</x:f>
        <x:v>Paciente 005</x:v>
      </x:c>
      <x:c r="D63" s="68" t="n">
        <x:f>IF(B63="","",IFERROR(INDEX(Planos_Contratos!$C$4:$C$203,MATCH(B63,Planos_Contratos!$A$4:$A$203,0)),""))</x:f>
        <x:v>5</x:v>
      </x:c>
      <x:c r="E63" s="72">
        <x:v>46120</x:v>
      </x:c>
      <x:c r="F63" s="104">
        <x:v>0.77083333333333337</x:v>
      </x:c>
      <x:c r="G63" s="64" t="s">
        <x:v>34</x:v>
      </x:c>
      <x:c r="H63" s="64" t="s">
        <x:v>78</x:v>
      </x:c>
      <x:c r="I63" s="92" t="n">
        <x:f>IF(B63="","",IFERROR(INDEX(Planos_Contratos!$G$4:$G$203,MATCH(B63,Planos_Contratos!$A$4:$A$203,0)),""))</x:f>
        <x:v>81</x:v>
      </x:c>
    </x:row>
    <x:row r="64" ht="20" customHeight="1">
      <x:c r="A64" s="68">
        <x:f t="shared" si="0"/>
        <x:v>61</x:v>
      </x:c>
      <x:c r="B64" s="64">
        <x:v>15</x:v>
      </x:c>
      <x:c r="C64" s="68" t="str">
        <x:f>IF(B64="","",IFERROR(INDEX(Planos_Contratos!$B$4:$B$203,MATCH(B64,Planos_Contratos!$A$4:$A$203,0)),""))</x:f>
        <x:v>Paciente 004</x:v>
      </x:c>
      <x:c r="D64" s="68" t="n">
        <x:f>IF(B64="","",IFERROR(INDEX(Planos_Contratos!$C$4:$C$203,MATCH(B64,Planos_Contratos!$A$4:$A$203,0)),""))</x:f>
        <x:v>4</x:v>
      </x:c>
      <x:c r="E64" s="72">
        <x:v>46120</x:v>
      </x:c>
      <x:c r="F64" s="104">
        <x:v>0.375</x:v>
      </x:c>
      <x:c r="G64" s="64" t="s">
        <x:v>34</x:v>
      </x:c>
      <x:c r="H64" s="64" t="s">
        <x:v>78</x:v>
      </x:c>
      <x:c r="I64" s="92" t="n">
        <x:f>IF(B64="","",IFERROR(INDEX(Planos_Contratos!$G$4:$G$203,MATCH(B64,Planos_Contratos!$A$4:$A$203,0)),""))</x:f>
        <x:v>270</x:v>
      </x:c>
    </x:row>
    <x:row r="65" ht="20" customHeight="1">
      <x:c r="A65" s="68">
        <x:f t="shared" si="0"/>
        <x:v>62</x:v>
      </x:c>
      <x:c r="B65" s="64">
        <x:v>13</x:v>
      </x:c>
      <x:c r="C65" s="68" t="str">
        <x:f>IF(B65="","",IFERROR(INDEX(Planos_Contratos!$B$4:$B$203,MATCH(B65,Planos_Contratos!$A$4:$A$203,0)),""))</x:f>
        <x:v>Paciente 008</x:v>
      </x:c>
      <x:c r="D65" s="68" t="n">
        <x:f>IF(B65="","",IFERROR(INDEX(Planos_Contratos!$C$4:$C$203,MATCH(B65,Planos_Contratos!$A$4:$A$203,0)),""))</x:f>
        <x:v>8</x:v>
      </x:c>
      <x:c r="E65" s="72">
        <x:v>46121</x:v>
      </x:c>
      <x:c r="F65" s="104">
        <x:v>0.41666666666666669</x:v>
      </x:c>
      <x:c r="G65" s="64" t="s">
        <x:v>34</x:v>
      </x:c>
      <x:c r="H65" s="64" t="s">
        <x:v>79</x:v>
      </x:c>
      <x:c r="I65" s="92" t="n">
        <x:f>IF(B65="","",IFERROR(INDEX(Planos_Contratos!$G$4:$G$203,MATCH(B65,Planos_Contratos!$A$4:$A$203,0)),""))</x:f>
        <x:v>81</x:v>
      </x:c>
    </x:row>
    <x:row r="66" ht="20" customHeight="1">
      <x:c r="A66" s="68">
        <x:f t="shared" si="0"/>
        <x:v>63</x:v>
      </x:c>
      <x:c r="B66" s="64">
        <x:v>14</x:v>
      </x:c>
      <x:c r="C66" s="68" t="str">
        <x:f>IF(B66="","",IFERROR(INDEX(Planos_Contratos!$B$4:$B$203,MATCH(B66,Planos_Contratos!$A$4:$A$203,0)),""))</x:f>
        <x:v>Paciente 005</x:v>
      </x:c>
      <x:c r="D66" s="68" t="n">
        <x:f>IF(B66="","",IFERROR(INDEX(Planos_Contratos!$C$4:$C$203,MATCH(B66,Planos_Contratos!$A$4:$A$203,0)),""))</x:f>
        <x:v>5</x:v>
      </x:c>
      <x:c r="E66" s="72">
        <x:v>46121</x:v>
      </x:c>
      <x:c r="F66" s="104">
        <x:v>0.58333333333333337</x:v>
      </x:c>
      <x:c r="G66" s="64" t="s">
        <x:v>34</x:v>
      </x:c>
      <x:c r="H66" s="64" t="s">
        <x:v>78</x:v>
      </x:c>
      <x:c r="I66" s="92" t="n">
        <x:f>IF(B66="","",IFERROR(INDEX(Planos_Contratos!$G$4:$G$203,MATCH(B66,Planos_Contratos!$A$4:$A$203,0)),""))</x:f>
        <x:v>180</x:v>
      </x:c>
    </x:row>
    <x:row r="67" ht="20" customHeight="1">
      <x:c r="A67" s="68">
        <x:f t="shared" si="0"/>
        <x:v>64</x:v>
      </x:c>
      <x:c r="B67" s="64">
        <x:v>7</x:v>
      </x:c>
      <x:c r="C67" s="68" t="str">
        <x:f>IF(B67="","",IFERROR(INDEX(Planos_Contratos!$B$4:$B$203,MATCH(B67,Planos_Contratos!$A$4:$A$203,0)),""))</x:f>
        <x:v>Paciente 007</x:v>
      </x:c>
      <x:c r="D67" s="68" t="n">
        <x:f>IF(B67="","",IFERROR(INDEX(Planos_Contratos!$C$4:$C$203,MATCH(B67,Planos_Contratos!$A$4:$A$203,0)),""))</x:f>
        <x:v>7</x:v>
      </x:c>
      <x:c r="E67" s="72">
        <x:v>46122</x:v>
      </x:c>
      <x:c r="F67" s="104">
        <x:v>0.375</x:v>
      </x:c>
      <x:c r="G67" s="64" t="s">
        <x:v>34</x:v>
      </x:c>
      <x:c r="H67" s="64" t="s">
        <x:v>78</x:v>
      </x:c>
      <x:c r="I67" s="92" t="n">
        <x:f>IF(B67="","",IFERROR(INDEX(Planos_Contratos!$G$4:$G$203,MATCH(B67,Planos_Contratos!$A$4:$A$203,0)),""))</x:f>
        <x:v>270</x:v>
      </x:c>
    </x:row>
    <x:row r="68" ht="20" customHeight="1">
      <x:c r="A68" s="68" t="n">
        <x:f t="shared" ref="A68:A131" si="1">IF(B68="","",ROW()-3)</x:f>
        <x:v>65</x:v>
      </x:c>
      <x:c r="B68" s="64">
        <x:v>4</x:v>
      </x:c>
      <x:c r="C68" s="68" t="str">
        <x:f>IF(B68="","",IFERROR(INDEX(Planos_Contratos!$B$4:$B$203,MATCH(B68,Planos_Contratos!$A$4:$A$203,0)),""))</x:f>
        <x:v>Paciente 004</x:v>
      </x:c>
      <x:c r="D68" s="68" t="n">
        <x:f>IF(B68="","",IFERROR(INDEX(Planos_Contratos!$C$4:$C$203,MATCH(B68,Planos_Contratos!$A$4:$A$203,0)),""))</x:f>
        <x:v>4</x:v>
      </x:c>
      <x:c r="E68" s="72">
        <x:v>46123</x:v>
      </x:c>
      <x:c r="F68" s="104">
        <x:v>0.70833333333333337</x:v>
      </x:c>
      <x:c r="G68" s="64" t="s">
        <x:v>34</x:v>
      </x:c>
      <x:c r="H68" s="64" t="s">
        <x:v>78</x:v>
      </x:c>
      <x:c r="I68" s="92" t="n">
        <x:f>IF(B68="","",IFERROR(INDEX(Planos_Contratos!$G$4:$G$203,MATCH(B68,Planos_Contratos!$A$4:$A$203,0)),""))</x:f>
        <x:v>270</x:v>
      </x:c>
    </x:row>
    <x:row r="69" ht="20" customHeight="1">
      <x:c r="A69" s="68">
        <x:f t="shared" si="1"/>
        <x:v>66</x:v>
      </x:c>
      <x:c r="B69" s="64">
        <x:v>3</x:v>
      </x:c>
      <x:c r="C69" s="68" t="str">
        <x:f>IF(B69="","",IFERROR(INDEX(Planos_Contratos!$B$4:$B$203,MATCH(B69,Planos_Contratos!$A$4:$A$203,0)),""))</x:f>
        <x:v>Paciente 003</x:v>
      </x:c>
      <x:c r="D69" s="68" t="n">
        <x:f>IF(B69="","",IFERROR(INDEX(Planos_Contratos!$C$4:$C$203,MATCH(B69,Planos_Contratos!$A$4:$A$203,0)),""))</x:f>
        <x:v>3</x:v>
      </x:c>
      <x:c r="E69" s="72">
        <x:v>46125</x:v>
      </x:c>
      <x:c r="F69" s="104">
        <x:v>0.75</x:v>
      </x:c>
      <x:c r="G69" s="64" t="s">
        <x:v>34</x:v>
      </x:c>
      <x:c r="H69" s="64" t="s">
        <x:v>78</x:v>
      </x:c>
      <x:c r="I69" s="92" t="n">
        <x:f>IF(B69="","",IFERROR(INDEX(Planos_Contratos!$G$4:$G$203,MATCH(B69,Planos_Contratos!$A$4:$A$203,0)),""))</x:f>
        <x:v>180</x:v>
      </x:c>
    </x:row>
    <x:row r="70" ht="20" customHeight="1">
      <x:c r="A70" s="68">
        <x:f t="shared" si="1"/>
        <x:v>67</x:v>
      </x:c>
      <x:c r="B70" s="64">
        <x:v>8</x:v>
      </x:c>
      <x:c r="C70" s="68" t="str">
        <x:f>IF(B70="","",IFERROR(INDEX(Planos_Contratos!$B$4:$B$203,MATCH(B70,Planos_Contratos!$A$4:$A$203,0)),""))</x:f>
        <x:v>Paciente 008</x:v>
      </x:c>
      <x:c r="D70" s="68" t="n">
        <x:f>IF(B70="","",IFERROR(INDEX(Planos_Contratos!$C$4:$C$203,MATCH(B70,Planos_Contratos!$A$4:$A$203,0)),""))</x:f>
        <x:v>8</x:v>
      </x:c>
      <x:c r="E70" s="72">
        <x:v>46126</x:v>
      </x:c>
      <x:c r="F70" s="104">
        <x:v>0.375</x:v>
      </x:c>
      <x:c r="G70" s="64" t="s">
        <x:v>34</x:v>
      </x:c>
      <x:c r="H70" s="64" t="s">
        <x:v>78</x:v>
      </x:c>
      <x:c r="I70" s="92" t="n">
        <x:f>IF(B70="","",IFERROR(INDEX(Planos_Contratos!$G$4:$G$203,MATCH(B70,Planos_Contratos!$A$4:$A$203,0)),""))</x:f>
        <x:v>180</x:v>
      </x:c>
    </x:row>
    <x:row r="71" ht="20" customHeight="1">
      <x:c r="A71" s="68">
        <x:f t="shared" si="1"/>
        <x:v>68</x:v>
      </x:c>
      <x:c r="B71" s="64">
        <x:v>5</x:v>
      </x:c>
      <x:c r="C71" s="68" t="str">
        <x:f>IF(B71="","",IFERROR(INDEX(Planos_Contratos!$B$4:$B$203,MATCH(B71,Planos_Contratos!$A$4:$A$203,0)),""))</x:f>
        <x:v>Paciente 005</x:v>
      </x:c>
      <x:c r="D71" s="68" t="n">
        <x:f>IF(B71="","",IFERROR(INDEX(Planos_Contratos!$C$4:$C$203,MATCH(B71,Planos_Contratos!$A$4:$A$203,0)),""))</x:f>
        <x:v>5</x:v>
      </x:c>
      <x:c r="E71" s="72">
        <x:v>46127</x:v>
      </x:c>
      <x:c r="F71" s="104">
        <x:v>0.70833333333333337</x:v>
      </x:c>
      <x:c r="G71" s="64" t="s">
        <x:v>34</x:v>
      </x:c>
      <x:c r="H71" s="64" t="s">
        <x:v>78</x:v>
      </x:c>
      <x:c r="I71" s="92" t="n">
        <x:f>IF(B71="","",IFERROR(INDEX(Planos_Contratos!$G$4:$G$203,MATCH(B71,Planos_Contratos!$A$4:$A$203,0)),""))</x:f>
        <x:v>81</x:v>
      </x:c>
    </x:row>
    <x:row r="72" ht="20" customHeight="1">
      <x:c r="A72" s="68">
        <x:f t="shared" si="1"/>
        <x:v>69</x:v>
      </x:c>
      <x:c r="B72" s="64">
        <x:v>5</x:v>
      </x:c>
      <x:c r="C72" s="68" t="str">
        <x:f>IF(B72="","",IFERROR(INDEX(Planos_Contratos!$B$4:$B$203,MATCH(B72,Planos_Contratos!$A$4:$A$203,0)),""))</x:f>
        <x:v>Paciente 005</x:v>
      </x:c>
      <x:c r="D72" s="68" t="n">
        <x:f>IF(B72="","",IFERROR(INDEX(Planos_Contratos!$C$4:$C$203,MATCH(B72,Planos_Contratos!$A$4:$A$203,0)),""))</x:f>
        <x:v>5</x:v>
      </x:c>
      <x:c r="E72" s="72">
        <x:v>46134</x:v>
      </x:c>
      <x:c r="F72" s="104">
        <x:v>0.70833333333333337</x:v>
      </x:c>
      <x:c r="G72" s="64" t="s">
        <x:v>34</x:v>
      </x:c>
      <x:c r="H72" s="64" t="s">
        <x:v>78</x:v>
      </x:c>
      <x:c r="I72" s="92" t="n">
        <x:f>IF(B72="","",IFERROR(INDEX(Planos_Contratos!$G$4:$G$203,MATCH(B72,Planos_Contratos!$A$4:$A$203,0)),""))</x:f>
        <x:v>81</x:v>
      </x:c>
    </x:row>
    <x:row r="73" ht="20" customHeight="1">
      <x:c r="A73" s="68">
        <x:f t="shared" si="1"/>
        <x:v>70</x:v>
      </x:c>
      <x:c r="B73" s="64">
        <x:v>14</x:v>
      </x:c>
      <x:c r="C73" s="68" t="str">
        <x:f>IF(B73="","",IFERROR(INDEX(Planos_Contratos!$B$4:$B$203,MATCH(B73,Planos_Contratos!$A$4:$A$203,0)),""))</x:f>
        <x:v>Paciente 005</x:v>
      </x:c>
      <x:c r="D73" s="68" t="n">
        <x:f>IF(B73="","",IFERROR(INDEX(Planos_Contratos!$C$4:$C$203,MATCH(B73,Planos_Contratos!$A$4:$A$203,0)),""))</x:f>
        <x:v>5</x:v>
      </x:c>
      <x:c r="E73" s="72">
        <x:v>46135</x:v>
      </x:c>
      <x:c r="F73" s="104">
        <x:v>0.58333333333333337</x:v>
      </x:c>
      <x:c r="G73" s="64" t="s">
        <x:v>34</x:v>
      </x:c>
      <x:c r="H73" s="64" t="s">
        <x:v>78</x:v>
      </x:c>
      <x:c r="I73" s="92" t="n">
        <x:f>IF(B73="","",IFERROR(INDEX(Planos_Contratos!$G$4:$G$203,MATCH(B73,Planos_Contratos!$A$4:$A$203,0)),""))</x:f>
        <x:v>180</x:v>
      </x:c>
    </x:row>
    <x:row r="74" ht="20" customHeight="1">
      <x:c r="A74" s="68">
        <x:f t="shared" si="1"/>
        <x:v>71</x:v>
      </x:c>
      <x:c r="B74" s="64">
        <x:v>7</x:v>
      </x:c>
      <x:c r="C74" s="68" t="str">
        <x:f>IF(B74="","",IFERROR(INDEX(Planos_Contratos!$B$4:$B$203,MATCH(B74,Planos_Contratos!$A$4:$A$203,0)),""))</x:f>
        <x:v>Paciente 007</x:v>
      </x:c>
      <x:c r="D74" s="68" t="n">
        <x:f>IF(B74="","",IFERROR(INDEX(Planos_Contratos!$C$4:$C$203,MATCH(B74,Planos_Contratos!$A$4:$A$203,0)),""))</x:f>
        <x:v>7</x:v>
      </x:c>
      <x:c r="E74" s="72">
        <x:v>46136</x:v>
      </x:c>
      <x:c r="F74" s="104">
        <x:v>0.45833333333333331</x:v>
      </x:c>
      <x:c r="G74" s="64" t="s">
        <x:v>34</x:v>
      </x:c>
      <x:c r="H74" s="64" t="s">
        <x:v>78</x:v>
      </x:c>
      <x:c r="I74" s="92" t="n">
        <x:f>IF(B74="","",IFERROR(INDEX(Planos_Contratos!$G$4:$G$203,MATCH(B74,Planos_Contratos!$A$4:$A$203,0)),""))</x:f>
        <x:v>270</x:v>
      </x:c>
    </x:row>
    <x:row r="75" ht="20" customHeight="1">
      <x:c r="A75" s="68">
        <x:f t="shared" si="1"/>
        <x:v>72</x:v>
      </x:c>
      <x:c r="B75" s="64">
        <x:v>4</x:v>
      </x:c>
      <x:c r="C75" s="68" t="str">
        <x:f>IF(B75="","",IFERROR(INDEX(Planos_Contratos!$B$4:$B$203,MATCH(B75,Planos_Contratos!$A$4:$A$203,0)),""))</x:f>
        <x:v>Paciente 004</x:v>
      </x:c>
      <x:c r="D75" s="68" t="n">
        <x:f>IF(B75="","",IFERROR(INDEX(Planos_Contratos!$C$4:$C$203,MATCH(B75,Planos_Contratos!$A$4:$A$203,0)),""))</x:f>
        <x:v>4</x:v>
      </x:c>
      <x:c r="E75" s="72">
        <x:v>46137</x:v>
      </x:c>
      <x:c r="F75" s="104">
        <x:v>0.4375</x:v>
      </x:c>
      <x:c r="G75" s="64" t="s">
        <x:v>34</x:v>
      </x:c>
      <x:c r="H75" s="64" t="s">
        <x:v>78</x:v>
      </x:c>
      <x:c r="I75" s="92" t="n">
        <x:f>IF(B75="","",IFERROR(INDEX(Planos_Contratos!$G$4:$G$203,MATCH(B75,Planos_Contratos!$A$4:$A$203,0)),""))</x:f>
        <x:v>270</x:v>
      </x:c>
    </x:row>
    <x:row r="76" ht="20" customHeight="1">
      <x:c r="A76" s="68">
        <x:f t="shared" si="1"/>
        <x:v>73</x:v>
      </x:c>
      <x:c r="B76" s="64">
        <x:v>3</x:v>
      </x:c>
      <x:c r="C76" s="68" t="str">
        <x:f>IF(B76="","",IFERROR(INDEX(Planos_Contratos!$B$4:$B$203,MATCH(B76,Planos_Contratos!$A$4:$A$203,0)),""))</x:f>
        <x:v>Paciente 003</x:v>
      </x:c>
      <x:c r="D76" s="68" t="n">
        <x:f>IF(B76="","",IFERROR(INDEX(Planos_Contratos!$C$4:$C$203,MATCH(B76,Planos_Contratos!$A$4:$A$203,0)),""))</x:f>
        <x:v>3</x:v>
      </x:c>
      <x:c r="E76" s="72">
        <x:v>46139</x:v>
      </x:c>
      <x:c r="F76" s="104">
        <x:v>0.33333333333333331</x:v>
      </x:c>
      <x:c r="G76" s="64" t="s">
        <x:v>34</x:v>
      </x:c>
      <x:c r="H76" s="64" t="s">
        <x:v>78</x:v>
      </x:c>
      <x:c r="I76" s="92" t="n">
        <x:f>IF(B76="","",IFERROR(INDEX(Planos_Contratos!$G$4:$G$203,MATCH(B76,Planos_Contratos!$A$4:$A$203,0)),""))</x:f>
        <x:v>180</x:v>
      </x:c>
    </x:row>
    <x:row r="77" ht="20" customHeight="1">
      <x:c r="A77" s="68">
        <x:f t="shared" si="1"/>
        <x:v>74</x:v>
      </x:c>
      <x:c r="B77" s="64">
        <x:v>8</x:v>
      </x:c>
      <x:c r="C77" s="68" t="str">
        <x:f>IF(B77="","",IFERROR(INDEX(Planos_Contratos!$B$4:$B$203,MATCH(B77,Planos_Contratos!$A$4:$A$203,0)),""))</x:f>
        <x:v>Paciente 008</x:v>
      </x:c>
      <x:c r="D77" s="68" t="n">
        <x:f>IF(B77="","",IFERROR(INDEX(Planos_Contratos!$C$4:$C$203,MATCH(B77,Planos_Contratos!$A$4:$A$203,0)),""))</x:f>
        <x:v>8</x:v>
      </x:c>
      <x:c r="E77" s="72">
        <x:v>46140</x:v>
      </x:c>
      <x:c r="F77" s="104">
        <x:v>0.45833333333333331</x:v>
      </x:c>
      <x:c r="G77" s="64" t="s">
        <x:v>34</x:v>
      </x:c>
      <x:c r="H77" s="64" t="s">
        <x:v>78</x:v>
      </x:c>
      <x:c r="I77" s="92" t="n">
        <x:f>IF(B77="","",IFERROR(INDEX(Planos_Contratos!$G$4:$G$203,MATCH(B77,Planos_Contratos!$A$4:$A$203,0)),""))</x:f>
        <x:v>180</x:v>
      </x:c>
    </x:row>
    <x:row r="78" ht="20" customHeight="1">
      <x:c r="A78" s="68">
        <x:f t="shared" si="1"/>
        <x:v>75</x:v>
      </x:c>
      <x:c r="B78" s="64">
        <x:v>10</x:v>
      </x:c>
      <x:c r="C78" s="68" t="str">
        <x:f>IF(B78="","",IFERROR(INDEX(Planos_Contratos!$B$4:$B$203,MATCH(B78,Planos_Contratos!$A$4:$A$203,0)),""))</x:f>
        <x:v>Paciente 010</x:v>
      </x:c>
      <x:c r="D78" s="68" t="n">
        <x:f>IF(B78="","",IFERROR(INDEX(Planos_Contratos!$C$4:$C$203,MATCH(B78,Planos_Contratos!$A$4:$A$203,0)),""))</x:f>
        <x:v>10</x:v>
      </x:c>
      <x:c r="E78" s="72">
        <x:v>46140</x:v>
      </x:c>
      <x:c r="F78" s="104">
        <x:v>0.75</x:v>
      </x:c>
      <x:c r="G78" s="64" t="s">
        <x:v>34</x:v>
      </x:c>
      <x:c r="H78" s="64" t="s">
        <x:v>78</x:v>
      </x:c>
      <x:c r="I78" s="92" t="n">
        <x:f>IF(B78="","",IFERROR(INDEX(Planos_Contratos!$G$4:$G$203,MATCH(B78,Planos_Contratos!$A$4:$A$203,0)),""))</x:f>
        <x:v>81</x:v>
      </x:c>
    </x:row>
    <x:row r="79" ht="20" customHeight="1">
      <x:c r="A79" s="68">
        <x:f t="shared" si="1"/>
        <x:v>76</x:v>
      </x:c>
      <x:c r="B79" s="64">
        <x:v>14</x:v>
      </x:c>
      <x:c r="C79" s="68" t="str">
        <x:f>IF(B79="","",IFERROR(INDEX(Planos_Contratos!$B$4:$B$203,MATCH(B79,Planos_Contratos!$A$4:$A$203,0)),""))</x:f>
        <x:v>Paciente 005</x:v>
      </x:c>
      <x:c r="D79" s="68" t="n">
        <x:f>IF(B79="","",IFERROR(INDEX(Planos_Contratos!$C$4:$C$203,MATCH(B79,Planos_Contratos!$A$4:$A$203,0)),""))</x:f>
        <x:v>5</x:v>
      </x:c>
      <x:c r="E79" s="72">
        <x:v>46140</x:v>
      </x:c>
      <x:c r="F79" s="104">
        <x:v>0.70833333333333337</x:v>
      </x:c>
      <x:c r="G79" s="64" t="s">
        <x:v>34</x:v>
      </x:c>
      <x:c r="H79" s="64" t="s">
        <x:v>80</x:v>
      </x:c>
      <x:c r="I79" s="92" t="n">
        <x:f>IF(B79="","",IFERROR(INDEX(Planos_Contratos!$G$4:$G$203,MATCH(B79,Planos_Contratos!$A$4:$A$203,0)),""))</x:f>
        <x:v>180</x:v>
      </x:c>
    </x:row>
    <x:row r="80" ht="20" customHeight="1">
      <x:c r="A80" s="68">
        <x:f t="shared" si="1"/>
        <x:v>77</x:v>
      </x:c>
      <x:c r="B80" s="64">
        <x:v>5</x:v>
      </x:c>
      <x:c r="C80" s="68" t="str">
        <x:f>IF(B80="","",IFERROR(INDEX(Planos_Contratos!$B$4:$B$203,MATCH(B80,Planos_Contratos!$A$4:$A$203,0)),""))</x:f>
        <x:v>Paciente 005</x:v>
      </x:c>
      <x:c r="D80" s="68" t="n">
        <x:f>IF(B80="","",IFERROR(INDEX(Planos_Contratos!$C$4:$C$203,MATCH(B80,Planos_Contratos!$A$4:$A$203,0)),""))</x:f>
        <x:v>5</x:v>
      </x:c>
      <x:c r="E80" s="72">
        <x:v>46141</x:v>
      </x:c>
      <x:c r="F80" s="104">
        <x:v>0.375</x:v>
      </x:c>
      <x:c r="G80" s="64" t="s">
        <x:v>34</x:v>
      </x:c>
      <x:c r="H80" s="64" t="s">
        <x:v>78</x:v>
      </x:c>
      <x:c r="I80" s="92" t="n">
        <x:f>IF(B80="","",IFERROR(INDEX(Planos_Contratos!$G$4:$G$203,MATCH(B80,Planos_Contratos!$A$4:$A$203,0)),""))</x:f>
        <x:v>81</x:v>
      </x:c>
    </x:row>
    <x:row r="81" ht="20" customHeight="1">
      <x:c r="A81" s="68">
        <x:f t="shared" si="1"/>
        <x:v>78</x:v>
      </x:c>
      <x:c r="B81" s="64">
        <x:v>10</x:v>
      </x:c>
      <x:c r="C81" s="68" t="str">
        <x:f>IF(B81="","",IFERROR(INDEX(Planos_Contratos!$B$4:$B$203,MATCH(B81,Planos_Contratos!$A$4:$A$203,0)),""))</x:f>
        <x:v>Paciente 010</x:v>
      </x:c>
      <x:c r="D81" s="68" t="n">
        <x:f>IF(B81="","",IFERROR(INDEX(Planos_Contratos!$C$4:$C$203,MATCH(B81,Planos_Contratos!$A$4:$A$203,0)),""))</x:f>
        <x:v>10</x:v>
      </x:c>
      <x:c r="E81" s="72">
        <x:v>46147</x:v>
      </x:c>
      <x:c r="F81" s="104">
        <x:v>0.75</x:v>
      </x:c>
      <x:c r="G81" s="64" t="s">
        <x:v>34</x:v>
      </x:c>
      <x:c r="H81" s="64" t="s">
        <x:v>78</x:v>
      </x:c>
      <x:c r="I81" s="92" t="n">
        <x:f>IF(B81="","",IFERROR(INDEX(Planos_Contratos!$G$4:$G$203,MATCH(B81,Planos_Contratos!$A$4:$A$203,0)),""))</x:f>
        <x:v>81</x:v>
      </x:c>
    </x:row>
    <x:row r="82" ht="20" customHeight="1">
      <x:c r="A82" s="68">
        <x:f t="shared" si="1"/>
        <x:v>79</x:v>
      </x:c>
      <x:c r="B82" s="64">
        <x:v>5</x:v>
      </x:c>
      <x:c r="C82" s="68" t="str">
        <x:f>IF(B82="","",IFERROR(INDEX(Planos_Contratos!$B$4:$B$203,MATCH(B82,Planos_Contratos!$A$4:$A$203,0)),""))</x:f>
        <x:v>Paciente 005</x:v>
      </x:c>
      <x:c r="D82" s="68" t="n">
        <x:f>IF(B82="","",IFERROR(INDEX(Planos_Contratos!$C$4:$C$203,MATCH(B82,Planos_Contratos!$A$4:$A$203,0)),""))</x:f>
        <x:v>5</x:v>
      </x:c>
      <x:c r="E82" s="72">
        <x:v>46148</x:v>
      </x:c>
      <x:c r="F82" s="104">
        <x:v>0.58333333333333337</x:v>
      </x:c>
      <x:c r="G82" s="64" t="s">
        <x:v>34</x:v>
      </x:c>
      <x:c r="H82" s="64" t="s">
        <x:v>78</x:v>
      </x:c>
      <x:c r="I82" s="92" t="n">
        <x:f>IF(B82="","",IFERROR(INDEX(Planos_Contratos!$G$4:$G$203,MATCH(B82,Planos_Contratos!$A$4:$A$203,0)),""))</x:f>
        <x:v>81</x:v>
      </x:c>
    </x:row>
    <x:row r="83" ht="20" customHeight="1">
      <x:c r="A83" s="68">
        <x:f t="shared" si="1"/>
        <x:v>80</x:v>
      </x:c>
      <x:c r="B83" s="64">
        <x:v>7</x:v>
      </x:c>
      <x:c r="C83" s="68" t="str">
        <x:f>IF(B83="","",IFERROR(INDEX(Planos_Contratos!$B$4:$B$203,MATCH(B83,Planos_Contratos!$A$4:$A$203,0)),""))</x:f>
        <x:v>Paciente 007</x:v>
      </x:c>
      <x:c r="D83" s="68" t="n">
        <x:f>IF(B83="","",IFERROR(INDEX(Planos_Contratos!$C$4:$C$203,MATCH(B83,Planos_Contratos!$A$4:$A$203,0)),""))</x:f>
        <x:v>7</x:v>
      </x:c>
      <x:c r="E83" s="72">
        <x:v>46150</x:v>
      </x:c>
      <x:c r="F83" s="104">
        <x:v>0.58333333333333337</x:v>
      </x:c>
      <x:c r="G83" s="64" t="s">
        <x:v>34</x:v>
      </x:c>
      <x:c r="H83" s="64" t="s">
        <x:v>78</x:v>
      </x:c>
      <x:c r="I83" s="92" t="n">
        <x:f>IF(B83="","",IFERROR(INDEX(Planos_Contratos!$G$4:$G$203,MATCH(B83,Planos_Contratos!$A$4:$A$203,0)),""))</x:f>
        <x:v>270</x:v>
      </x:c>
    </x:row>
    <x:row r="84" ht="20" customHeight="1">
      <x:c r="A84" s="68">
        <x:f t="shared" si="1"/>
        <x:v>81</x:v>
      </x:c>
      <x:c r="B84" s="64">
        <x:v>4</x:v>
      </x:c>
      <x:c r="C84" s="68" t="str">
        <x:f>IF(B84="","",IFERROR(INDEX(Planos_Contratos!$B$4:$B$203,MATCH(B84,Planos_Contratos!$A$4:$A$203,0)),""))</x:f>
        <x:v>Paciente 004</x:v>
      </x:c>
      <x:c r="D84" s="68" t="n">
        <x:f>IF(B84="","",IFERROR(INDEX(Planos_Contratos!$C$4:$C$203,MATCH(B84,Planos_Contratos!$A$4:$A$203,0)),""))</x:f>
        <x:v>4</x:v>
      </x:c>
      <x:c r="E84" s="72">
        <x:v>46151</x:v>
      </x:c>
      <x:c r="F84" s="104">
        <x:v>0.625</x:v>
      </x:c>
      <x:c r="G84" s="64" t="s">
        <x:v>34</x:v>
      </x:c>
      <x:c r="H84" s="64" t="s">
        <x:v>78</x:v>
      </x:c>
      <x:c r="I84" s="92" t="n">
        <x:f>IF(B84="","",IFERROR(INDEX(Planos_Contratos!$G$4:$G$203,MATCH(B84,Planos_Contratos!$A$4:$A$203,0)),""))</x:f>
        <x:v>270</x:v>
      </x:c>
    </x:row>
    <x:row r="85" ht="20" customHeight="1">
      <x:c r="A85" s="68">
        <x:f t="shared" si="1"/>
        <x:v>82</x:v>
      </x:c>
      <x:c r="B85" s="64">
        <x:v>3</x:v>
      </x:c>
      <x:c r="C85" s="68" t="str">
        <x:f>IF(B85="","",IFERROR(INDEX(Planos_Contratos!$B$4:$B$203,MATCH(B85,Planos_Contratos!$A$4:$A$203,0)),""))</x:f>
        <x:v>Paciente 003</x:v>
      </x:c>
      <x:c r="D85" s="68" t="n">
        <x:f>IF(B85="","",IFERROR(INDEX(Planos_Contratos!$C$4:$C$203,MATCH(B85,Planos_Contratos!$A$4:$A$203,0)),""))</x:f>
        <x:v>3</x:v>
      </x:c>
      <x:c r="E85" s="72">
        <x:v>46153</x:v>
      </x:c>
      <x:c r="F85" s="104">
        <x:v>0.625</x:v>
      </x:c>
      <x:c r="G85" s="64" t="s">
        <x:v>34</x:v>
      </x:c>
      <x:c r="H85" s="64" t="s">
        <x:v>78</x:v>
      </x:c>
      <x:c r="I85" s="92" t="n">
        <x:f>IF(B85="","",IFERROR(INDEX(Planos_Contratos!$G$4:$G$203,MATCH(B85,Planos_Contratos!$A$4:$A$203,0)),""))</x:f>
        <x:v>180</x:v>
      </x:c>
    </x:row>
    <x:row r="86" ht="20" customHeight="1">
      <x:c r="A86" s="68">
        <x:f t="shared" si="1"/>
        <x:v>83</x:v>
      </x:c>
      <x:c r="B86" s="64">
        <x:v>8</x:v>
      </x:c>
      <x:c r="C86" s="68" t="str">
        <x:f>IF(B86="","",IFERROR(INDEX(Planos_Contratos!$B$4:$B$203,MATCH(B86,Planos_Contratos!$A$4:$A$203,0)),""))</x:f>
        <x:v>Paciente 008</x:v>
      </x:c>
      <x:c r="D86" s="68" t="n">
        <x:f>IF(B86="","",IFERROR(INDEX(Planos_Contratos!$C$4:$C$203,MATCH(B86,Planos_Contratos!$A$4:$A$203,0)),""))</x:f>
        <x:v>8</x:v>
      </x:c>
      <x:c r="E86" s="72">
        <x:v>46154</x:v>
      </x:c>
      <x:c r="F86" s="104">
        <x:v>0.72916666666666663</x:v>
      </x:c>
      <x:c r="G86" s="64" t="s">
        <x:v>34</x:v>
      </x:c>
      <x:c r="H86" s="64" t="s">
        <x:v>78</x:v>
      </x:c>
      <x:c r="I86" s="92" t="n">
        <x:f>IF(B86="","",IFERROR(INDEX(Planos_Contratos!$G$4:$G$203,MATCH(B86,Planos_Contratos!$A$4:$A$203,0)),""))</x:f>
        <x:v>180</x:v>
      </x:c>
    </x:row>
    <x:row r="87" ht="20" customHeight="1">
      <x:c r="A87" s="68">
        <x:f t="shared" si="1"/>
        <x:v>84</x:v>
      </x:c>
      <x:c r="B87" s="64">
        <x:v>10</x:v>
      </x:c>
      <x:c r="C87" s="68" t="str">
        <x:f>IF(B87="","",IFERROR(INDEX(Planos_Contratos!$B$4:$B$203,MATCH(B87,Planos_Contratos!$A$4:$A$203,0)),""))</x:f>
        <x:v>Paciente 010</x:v>
      </x:c>
      <x:c r="D87" s="68" t="n">
        <x:f>IF(B87="","",IFERROR(INDEX(Planos_Contratos!$C$4:$C$203,MATCH(B87,Planos_Contratos!$A$4:$A$203,0)),""))</x:f>
        <x:v>10</x:v>
      </x:c>
      <x:c r="E87" s="72">
        <x:v>46154</x:v>
      </x:c>
      <x:c r="F87" s="104">
        <x:v>0.625</x:v>
      </x:c>
      <x:c r="G87" s="64" t="s">
        <x:v>34</x:v>
      </x:c>
      <x:c r="H87" s="64" t="s">
        <x:v>78</x:v>
      </x:c>
      <x:c r="I87" s="92" t="n">
        <x:f>IF(B87="","",IFERROR(INDEX(Planos_Contratos!$G$4:$G$203,MATCH(B87,Planos_Contratos!$A$4:$A$203,0)),""))</x:f>
        <x:v>81</x:v>
      </x:c>
    </x:row>
    <x:row r="88" ht="20" customHeight="1">
      <x:c r="A88" s="68">
        <x:f t="shared" si="1"/>
        <x:v>85</x:v>
      </x:c>
      <x:c r="B88" s="64">
        <x:v>5</x:v>
      </x:c>
      <x:c r="C88" s="68" t="str">
        <x:f>IF(B88="","",IFERROR(INDEX(Planos_Contratos!$B$4:$B$203,MATCH(B88,Planos_Contratos!$A$4:$A$203,0)),""))</x:f>
        <x:v>Paciente 005</x:v>
      </x:c>
      <x:c r="D88" s="68" t="n">
        <x:f>IF(B88="","",IFERROR(INDEX(Planos_Contratos!$C$4:$C$203,MATCH(B88,Planos_Contratos!$A$4:$A$203,0)),""))</x:f>
        <x:v>5</x:v>
      </x:c>
      <x:c r="E88" s="72">
        <x:v>46155</x:v>
      </x:c>
      <x:c r="F88" s="104">
        <x:v>0.5625</x:v>
      </x:c>
      <x:c r="G88" s="64" t="s">
        <x:v>34</x:v>
      </x:c>
      <x:c r="H88" s="64" t="s">
        <x:v>78</x:v>
      </x:c>
      <x:c r="I88" s="92" t="n">
        <x:f>IF(B88="","",IFERROR(INDEX(Planos_Contratos!$G$4:$G$203,MATCH(B88,Planos_Contratos!$A$4:$A$203,0)),""))</x:f>
        <x:v>81</x:v>
      </x:c>
    </x:row>
    <x:row r="89" ht="20" customHeight="1">
      <x:c r="A89" s="68">
        <x:f t="shared" si="1"/>
        <x:v>86</x:v>
      </x:c>
      <x:c r="B89" s="64">
        <x:v>16</x:v>
      </x:c>
      <x:c r="C89" s="68" t="str">
        <x:f>IF(B89="","",IFERROR(INDEX(Planos_Contratos!$B$4:$B$203,MATCH(B89,Planos_Contratos!$A$4:$A$203,0)),""))</x:f>
        <x:v>Paciente 010</x:v>
      </x:c>
      <x:c r="D89" s="68" t="n">
        <x:f>IF(B89="","",IFERROR(INDEX(Planos_Contratos!$C$4:$C$203,MATCH(B89,Planos_Contratos!$A$4:$A$203,0)),""))</x:f>
        <x:v>10</x:v>
      </x:c>
      <x:c r="E89" s="72">
        <x:v>46158</x:v>
      </x:c>
      <x:c r="F89" s="104">
        <x:v>0.72916666666666663</x:v>
      </x:c>
      <x:c r="G89" s="64" t="s">
        <x:v>34</x:v>
      </x:c>
      <x:c r="H89" s="64" t="s">
        <x:v>78</x:v>
      </x:c>
      <x:c r="I89" s="92" t="n">
        <x:f>IF(B89="","",IFERROR(INDEX(Planos_Contratos!$G$4:$G$203,MATCH(B89,Planos_Contratos!$A$4:$A$203,0)),""))</x:f>
        <x:v>81</x:v>
      </x:c>
    </x:row>
    <x:row r="90" ht="20" customHeight="1">
      <x:c r="A90" s="68">
        <x:f t="shared" si="1"/>
        <x:v>87</x:v>
      </x:c>
      <x:c r="B90" s="64">
        <x:v>10</x:v>
      </x:c>
      <x:c r="C90" s="68" t="str">
        <x:f>IF(B90="","",IFERROR(INDEX(Planos_Contratos!$B$4:$B$203,MATCH(B90,Planos_Contratos!$A$4:$A$203,0)),""))</x:f>
        <x:v>Paciente 010</x:v>
      </x:c>
      <x:c r="D90" s="68" t="n">
        <x:f>IF(B90="","",IFERROR(INDEX(Planos_Contratos!$C$4:$C$203,MATCH(B90,Planos_Contratos!$A$4:$A$203,0)),""))</x:f>
        <x:v>10</x:v>
      </x:c>
      <x:c r="E90" s="72">
        <x:v>46161</x:v>
      </x:c>
      <x:c r="F90" s="104">
        <x:v>0.54166666666666663</x:v>
      </x:c>
      <x:c r="G90" s="64" t="s">
        <x:v>34</x:v>
      </x:c>
      <x:c r="H90" s="64" t="s">
        <x:v>78</x:v>
      </x:c>
      <x:c r="I90" s="92" t="n">
        <x:f>IF(B90="","",IFERROR(INDEX(Planos_Contratos!$G$4:$G$203,MATCH(B90,Planos_Contratos!$A$4:$A$203,0)),""))</x:f>
        <x:v>81</x:v>
      </x:c>
    </x:row>
    <x:row r="91" ht="20" customHeight="1">
      <x:c r="A91" s="68">
        <x:f t="shared" si="1"/>
        <x:v>88</x:v>
      </x:c>
      <x:c r="B91" s="64">
        <x:v>5</x:v>
      </x:c>
      <x:c r="C91" s="68" t="str">
        <x:f>IF(B91="","",IFERROR(INDEX(Planos_Contratos!$B$4:$B$203,MATCH(B91,Planos_Contratos!$A$4:$A$203,0)),""))</x:f>
        <x:v>Paciente 005</x:v>
      </x:c>
      <x:c r="D91" s="68" t="n">
        <x:f>IF(B91="","",IFERROR(INDEX(Planos_Contratos!$C$4:$C$203,MATCH(B91,Planos_Contratos!$A$4:$A$203,0)),""))</x:f>
        <x:v>5</x:v>
      </x:c>
      <x:c r="E91" s="72">
        <x:v>46162</x:v>
      </x:c>
      <x:c r="F91" s="104">
        <x:v>0.4375</x:v>
      </x:c>
      <x:c r="G91" s="64" t="s">
        <x:v>34</x:v>
      </x:c>
      <x:c r="H91" s="64" t="s">
        <x:v>78</x:v>
      </x:c>
      <x:c r="I91" s="92" t="n">
        <x:f>IF(B91="","",IFERROR(INDEX(Planos_Contratos!$G$4:$G$203,MATCH(B91,Planos_Contratos!$A$4:$A$203,0)),""))</x:f>
        <x:v>81</x:v>
      </x:c>
    </x:row>
    <x:row r="92" ht="20" customHeight="1">
      <x:c r="A92" s="68">
        <x:f t="shared" si="1"/>
        <x:v>89</x:v>
      </x:c>
      <x:c r="B92" s="64">
        <x:v>7</x:v>
      </x:c>
      <x:c r="C92" s="68" t="str">
        <x:f>IF(B92="","",IFERROR(INDEX(Planos_Contratos!$B$4:$B$203,MATCH(B92,Planos_Contratos!$A$4:$A$203,0)),""))</x:f>
        <x:v>Paciente 007</x:v>
      </x:c>
      <x:c r="D92" s="68" t="n">
        <x:f>IF(B92="","",IFERROR(INDEX(Planos_Contratos!$C$4:$C$203,MATCH(B92,Planos_Contratos!$A$4:$A$203,0)),""))</x:f>
        <x:v>7</x:v>
      </x:c>
      <x:c r="E92" s="72">
        <x:v>46164</x:v>
      </x:c>
      <x:c r="F92" s="104">
        <x:v>0.75</x:v>
      </x:c>
      <x:c r="G92" s="64" t="s">
        <x:v>34</x:v>
      </x:c>
      <x:c r="H92" s="64" t="s">
        <x:v>78</x:v>
      </x:c>
      <x:c r="I92" s="92" t="n">
        <x:f>IF(B92="","",IFERROR(INDEX(Planos_Contratos!$G$4:$G$203,MATCH(B92,Planos_Contratos!$A$4:$A$203,0)),""))</x:f>
        <x:v>270</x:v>
      </x:c>
    </x:row>
    <x:row r="93" ht="20" customHeight="1">
      <x:c r="A93" s="68">
        <x:f t="shared" si="1"/>
        <x:v>90</x:v>
      </x:c>
      <x:c r="B93" s="64">
        <x:v>4</x:v>
      </x:c>
      <x:c r="C93" s="68" t="str">
        <x:f>IF(B93="","",IFERROR(INDEX(Planos_Contratos!$B$4:$B$203,MATCH(B93,Planos_Contratos!$A$4:$A$203,0)),""))</x:f>
        <x:v>Paciente 004</x:v>
      </x:c>
      <x:c r="D93" s="68" t="n">
        <x:f>IF(B93="","",IFERROR(INDEX(Planos_Contratos!$C$4:$C$203,MATCH(B93,Planos_Contratos!$A$4:$A$203,0)),""))</x:f>
        <x:v>4</x:v>
      </x:c>
      <x:c r="E93" s="72">
        <x:v>46165</x:v>
      </x:c>
      <x:c r="F93" s="104">
        <x:v>0.70833333333333337</x:v>
      </x:c>
      <x:c r="G93" s="64" t="s">
        <x:v>34</x:v>
      </x:c>
      <x:c r="H93" s="64" t="s">
        <x:v>78</x:v>
      </x:c>
      <x:c r="I93" s="92" t="n">
        <x:f>IF(B93="","",IFERROR(INDEX(Planos_Contratos!$G$4:$G$203,MATCH(B93,Planos_Contratos!$A$4:$A$203,0)),""))</x:f>
        <x:v>270</x:v>
      </x:c>
    </x:row>
    <x:row r="94" ht="20" customHeight="1">
      <x:c r="A94" s="68">
        <x:f t="shared" si="1"/>
        <x:v>91</x:v>
      </x:c>
      <x:c r="B94" s="64">
        <x:v>16</x:v>
      </x:c>
      <x:c r="C94" s="68" t="str">
        <x:f>IF(B94="","",IFERROR(INDEX(Planos_Contratos!$B$4:$B$203,MATCH(B94,Planos_Contratos!$A$4:$A$203,0)),""))</x:f>
        <x:v>Paciente 010</x:v>
      </x:c>
      <x:c r="D94" s="68" t="n">
        <x:f>IF(B94="","",IFERROR(INDEX(Planos_Contratos!$C$4:$C$203,MATCH(B94,Planos_Contratos!$A$4:$A$203,0)),""))</x:f>
        <x:v>10</x:v>
      </x:c>
      <x:c r="E94" s="72">
        <x:v>46165</x:v>
      </x:c>
      <x:c r="F94" s="104">
        <x:v>0.75</x:v>
      </x:c>
      <x:c r="G94" s="64" t="s">
        <x:v>34</x:v>
      </x:c>
      <x:c r="H94" s="64" t="s">
        <x:v>78</x:v>
      </x:c>
      <x:c r="I94" s="92" t="n">
        <x:f>IF(B94="","",IFERROR(INDEX(Planos_Contratos!$G$4:$G$203,MATCH(B94,Planos_Contratos!$A$4:$A$203,0)),""))</x:f>
        <x:v>81</x:v>
      </x:c>
    </x:row>
    <x:row r="95" ht="20" customHeight="1">
      <x:c r="A95" s="68">
        <x:f t="shared" si="1"/>
        <x:v>92</x:v>
      </x:c>
      <x:c r="B95" s="64">
        <x:v>3</x:v>
      </x:c>
      <x:c r="C95" s="68" t="str">
        <x:f>IF(B95="","",IFERROR(INDEX(Planos_Contratos!$B$4:$B$203,MATCH(B95,Planos_Contratos!$A$4:$A$203,0)),""))</x:f>
        <x:v>Paciente 003</x:v>
      </x:c>
      <x:c r="D95" s="68" t="n">
        <x:f>IF(B95="","",IFERROR(INDEX(Planos_Contratos!$C$4:$C$203,MATCH(B95,Planos_Contratos!$A$4:$A$203,0)),""))</x:f>
        <x:v>3</x:v>
      </x:c>
      <x:c r="E95" s="72">
        <x:v>46167</x:v>
      </x:c>
      <x:c r="F95" s="104">
        <x:v>0.54166666666666663</x:v>
      </x:c>
      <x:c r="G95" s="64" t="s">
        <x:v>34</x:v>
      </x:c>
      <x:c r="H95" s="64" t="s">
        <x:v>78</x:v>
      </x:c>
      <x:c r="I95" s="92" t="n">
        <x:f>IF(B95="","",IFERROR(INDEX(Planos_Contratos!$G$4:$G$203,MATCH(B95,Planos_Contratos!$A$4:$A$203,0)),""))</x:f>
        <x:v>180</x:v>
      </x:c>
    </x:row>
    <x:row r="96" ht="20" customHeight="1">
      <x:c r="A96" s="68">
        <x:f t="shared" si="1"/>
        <x:v>93</x:v>
      </x:c>
      <x:c r="B96" s="64">
        <x:v>8</x:v>
      </x:c>
      <x:c r="C96" s="68" t="str">
        <x:f>IF(B96="","",IFERROR(INDEX(Planos_Contratos!$B$4:$B$203,MATCH(B96,Planos_Contratos!$A$4:$A$203,0)),""))</x:f>
        <x:v>Paciente 008</x:v>
      </x:c>
      <x:c r="D96" s="68" t="n">
        <x:f>IF(B96="","",IFERROR(INDEX(Planos_Contratos!$C$4:$C$203,MATCH(B96,Planos_Contratos!$A$4:$A$203,0)),""))</x:f>
        <x:v>8</x:v>
      </x:c>
      <x:c r="E96" s="72">
        <x:v>46168</x:v>
      </x:c>
      <x:c r="F96" s="104">
        <x:v>0.4375</x:v>
      </x:c>
      <x:c r="G96" s="64" t="s">
        <x:v>34</x:v>
      </x:c>
      <x:c r="H96" s="64" t="s">
        <x:v>78</x:v>
      </x:c>
      <x:c r="I96" s="92" t="n">
        <x:f>IF(B96="","",IFERROR(INDEX(Planos_Contratos!$G$4:$G$203,MATCH(B96,Planos_Contratos!$A$4:$A$203,0)),""))</x:f>
        <x:v>180</x:v>
      </x:c>
    </x:row>
    <x:row r="97" ht="20" customHeight="1">
      <x:c r="A97" s="68">
        <x:f t="shared" si="1"/>
        <x:v>94</x:v>
      </x:c>
      <x:c r="B97" s="64">
        <x:v>10</x:v>
      </x:c>
      <x:c r="C97" s="68" t="str">
        <x:f>IF(B97="","",IFERROR(INDEX(Planos_Contratos!$B$4:$B$203,MATCH(B97,Planos_Contratos!$A$4:$A$203,0)),""))</x:f>
        <x:v>Paciente 010</x:v>
      </x:c>
      <x:c r="D97" s="68" t="n">
        <x:f>IF(B97="","",IFERROR(INDEX(Planos_Contratos!$C$4:$C$203,MATCH(B97,Planos_Contratos!$A$4:$A$203,0)),""))</x:f>
        <x:v>10</x:v>
      </x:c>
      <x:c r="E97" s="72">
        <x:v>46168</x:v>
      </x:c>
      <x:c r="F97" s="104">
        <x:v>0.58333333333333337</x:v>
      </x:c>
      <x:c r="G97" s="64" t="s">
        <x:v>34</x:v>
      </x:c>
      <x:c r="H97" s="64" t="s">
        <x:v>78</x:v>
      </x:c>
      <x:c r="I97" s="92" t="n">
        <x:f>IF(B97="","",IFERROR(INDEX(Planos_Contratos!$G$4:$G$203,MATCH(B97,Planos_Contratos!$A$4:$A$203,0)),""))</x:f>
        <x:v>81</x:v>
      </x:c>
    </x:row>
    <x:row r="98" ht="20" customHeight="1">
      <x:c r="A98" s="68">
        <x:f t="shared" si="1"/>
        <x:v>95</x:v>
      </x:c>
      <x:c r="B98" s="64">
        <x:v>5</x:v>
      </x:c>
      <x:c r="C98" s="68" t="str">
        <x:f>IF(B98="","",IFERROR(INDEX(Planos_Contratos!$B$4:$B$203,MATCH(B98,Planos_Contratos!$A$4:$A$203,0)),""))</x:f>
        <x:v>Paciente 005</x:v>
      </x:c>
      <x:c r="D98" s="68" t="n">
        <x:f>IF(B98="","",IFERROR(INDEX(Planos_Contratos!$C$4:$C$203,MATCH(B98,Planos_Contratos!$A$4:$A$203,0)),""))</x:f>
        <x:v>5</x:v>
      </x:c>
      <x:c r="E98" s="72">
        <x:v>46169</x:v>
      </x:c>
      <x:c r="F98" s="104">
        <x:v>0.33333333333333331</x:v>
      </x:c>
      <x:c r="G98" s="64" t="s">
        <x:v>34</x:v>
      </x:c>
      <x:c r="H98" s="64" t="s">
        <x:v>78</x:v>
      </x:c>
      <x:c r="I98" s="92" t="n">
        <x:f>IF(B98="","",IFERROR(INDEX(Planos_Contratos!$G$4:$G$203,MATCH(B98,Planos_Contratos!$A$4:$A$203,0)),""))</x:f>
        <x:v>81</x:v>
      </x:c>
    </x:row>
    <x:row r="99" ht="20" customHeight="1">
      <x:c r="A99" s="68">
        <x:f t="shared" si="1"/>
        <x:v>96</x:v>
      </x:c>
      <x:c r="B99" s="64">
        <x:v>16</x:v>
      </x:c>
      <x:c r="C99" s="68" t="str">
        <x:f>IF(B99="","",IFERROR(INDEX(Planos_Contratos!$B$4:$B$203,MATCH(B99,Planos_Contratos!$A$4:$A$203,0)),""))</x:f>
        <x:v>Paciente 010</x:v>
      </x:c>
      <x:c r="D99" s="68" t="n">
        <x:f>IF(B99="","",IFERROR(INDEX(Planos_Contratos!$C$4:$C$203,MATCH(B99,Planos_Contratos!$A$4:$A$203,0)),""))</x:f>
        <x:v>10</x:v>
      </x:c>
      <x:c r="E99" s="72">
        <x:v>46172</x:v>
      </x:c>
      <x:c r="F99" s="104">
        <x:v>0.45833333333333331</x:v>
      </x:c>
      <x:c r="G99" s="64" t="s">
        <x:v>34</x:v>
      </x:c>
      <x:c r="H99" s="64" t="s">
        <x:v>78</x:v>
      </x:c>
      <x:c r="I99" s="92" t="n">
        <x:f>IF(B99="","",IFERROR(INDEX(Planos_Contratos!$G$4:$G$203,MATCH(B99,Planos_Contratos!$A$4:$A$203,0)),""))</x:f>
        <x:v>81</x:v>
      </x:c>
    </x:row>
    <x:row r="100" ht="20" customHeight="1">
      <x:c r="A100" s="68">
        <x:f t="shared" si="1"/>
        <x:v>97</x:v>
      </x:c>
      <x:c r="B100" s="64">
        <x:v>10</x:v>
      </x:c>
      <x:c r="C100" s="68" t="str">
        <x:f>IF(B100="","",IFERROR(INDEX(Planos_Contratos!$B$4:$B$203,MATCH(B100,Planos_Contratos!$A$4:$A$203,0)),""))</x:f>
        <x:v>Paciente 010</x:v>
      </x:c>
      <x:c r="D100" s="68" t="n">
        <x:f>IF(B100="","",IFERROR(INDEX(Planos_Contratos!$C$4:$C$203,MATCH(B100,Planos_Contratos!$A$4:$A$203,0)),""))</x:f>
        <x:v>10</x:v>
      </x:c>
      <x:c r="E100" s="72">
        <x:v>46175</x:v>
      </x:c>
      <x:c r="F100" s="104">
        <x:v>0.5625</x:v>
      </x:c>
      <x:c r="G100" s="64" t="s">
        <x:v>34</x:v>
      </x:c>
      <x:c r="H100" s="64" t="s">
        <x:v>78</x:v>
      </x:c>
      <x:c r="I100" s="92" t="n">
        <x:f>IF(B100="","",IFERROR(INDEX(Planos_Contratos!$G$4:$G$203,MATCH(B100,Planos_Contratos!$A$4:$A$203,0)),""))</x:f>
        <x:v>81</x:v>
      </x:c>
    </x:row>
    <x:row r="101" ht="20" customHeight="1">
      <x:c r="A101" s="68">
        <x:f t="shared" si="1"/>
        <x:v>98</x:v>
      </x:c>
      <x:c r="B101" s="64">
        <x:v>5</x:v>
      </x:c>
      <x:c r="C101" s="68" t="str">
        <x:f>IF(B101="","",IFERROR(INDEX(Planos_Contratos!$B$4:$B$203,MATCH(B101,Planos_Contratos!$A$4:$A$203,0)),""))</x:f>
        <x:v>Paciente 005</x:v>
      </x:c>
      <x:c r="D101" s="68" t="n">
        <x:f>IF(B101="","",IFERROR(INDEX(Planos_Contratos!$C$4:$C$203,MATCH(B101,Planos_Contratos!$A$4:$A$203,0)),""))</x:f>
        <x:v>5</x:v>
      </x:c>
      <x:c r="E101" s="72">
        <x:v>46176</x:v>
      </x:c>
      <x:c r="F101" s="104">
        <x:v>0.70833333333333337</x:v>
      </x:c>
      <x:c r="G101" s="64" t="s">
        <x:v>34</x:v>
      </x:c>
      <x:c r="H101" s="64" t="s">
        <x:v>78</x:v>
      </x:c>
      <x:c r="I101" s="92" t="n">
        <x:f>IF(B101="","",IFERROR(INDEX(Planos_Contratos!$G$4:$G$203,MATCH(B101,Planos_Contratos!$A$4:$A$203,0)),""))</x:f>
        <x:v>81</x:v>
      </x:c>
    </x:row>
    <x:row r="102" ht="20" customHeight="1">
      <x:c r="A102" s="68">
        <x:f t="shared" si="1"/>
        <x:v>99</x:v>
      </x:c>
      <x:c r="B102" s="64">
        <x:v>7</x:v>
      </x:c>
      <x:c r="C102" s="68" t="str">
        <x:f>IF(B102="","",IFERROR(INDEX(Planos_Contratos!$B$4:$B$203,MATCH(B102,Planos_Contratos!$A$4:$A$203,0)),""))</x:f>
        <x:v>Paciente 007</x:v>
      </x:c>
      <x:c r="D102" s="68" t="n">
        <x:f>IF(B102="","",IFERROR(INDEX(Planos_Contratos!$C$4:$C$203,MATCH(B102,Planos_Contratos!$A$4:$A$203,0)),""))</x:f>
        <x:v>7</x:v>
      </x:c>
      <x:c r="E102" s="72">
        <x:v>46178</x:v>
      </x:c>
      <x:c r="F102" s="104">
        <x:v>0.75</x:v>
      </x:c>
      <x:c r="G102" s="64" t="s">
        <x:v>34</x:v>
      </x:c>
      <x:c r="H102" s="64" t="s">
        <x:v>78</x:v>
      </x:c>
      <x:c r="I102" s="92" t="n">
        <x:f>IF(B102="","",IFERROR(INDEX(Planos_Contratos!$G$4:$G$203,MATCH(B102,Planos_Contratos!$A$4:$A$203,0)),""))</x:f>
        <x:v>270</x:v>
      </x:c>
    </x:row>
    <x:row r="103" ht="20" customHeight="1">
      <x:c r="A103" s="68">
        <x:f t="shared" si="1"/>
        <x:v>100</x:v>
      </x:c>
      <x:c r="B103" s="64">
        <x:v>17</x:v>
      </x:c>
      <x:c r="C103" s="68" t="str">
        <x:f>IF(B103="","",IFERROR(INDEX(Planos_Contratos!$B$4:$B$203,MATCH(B103,Planos_Contratos!$A$4:$A$203,0)),""))</x:f>
        <x:v>Paciente 009</x:v>
      </x:c>
      <x:c r="D103" s="68" t="n">
        <x:f>IF(B103="","",IFERROR(INDEX(Planos_Contratos!$C$4:$C$203,MATCH(B103,Planos_Contratos!$A$4:$A$203,0)),""))</x:f>
        <x:v>9</x:v>
      </x:c>
      <x:c r="E103" s="72">
        <x:v>46178</x:v>
      </x:c>
      <x:c r="F103" s="104">
        <x:v>0.60416666666666663</x:v>
      </x:c>
      <x:c r="G103" s="64" t="s">
        <x:v>37</x:v>
      </x:c>
      <x:c r="H103" s="64" t="s">
        <x:v>78</x:v>
      </x:c>
      <x:c r="I103" s="92" t="n">
        <x:f>IF(B103="","",IFERROR(INDEX(Planos_Contratos!$G$4:$G$203,MATCH(B103,Planos_Contratos!$A$4:$A$203,0)),""))</x:f>
        <x:v>180</x:v>
      </x:c>
    </x:row>
    <x:row r="104" ht="20" customHeight="1">
      <x:c r="A104" s="68">
        <x:f t="shared" si="1"/>
        <x:v>101</x:v>
      </x:c>
      <x:c r="B104" s="64">
        <x:v>4</x:v>
      </x:c>
      <x:c r="C104" s="68" t="str">
        <x:f>IF(B104="","",IFERROR(INDEX(Planos_Contratos!$B$4:$B$203,MATCH(B104,Planos_Contratos!$A$4:$A$203,0)),""))</x:f>
        <x:v>Paciente 004</x:v>
      </x:c>
      <x:c r="D104" s="68" t="n">
        <x:f>IF(B104="","",IFERROR(INDEX(Planos_Contratos!$C$4:$C$203,MATCH(B104,Planos_Contratos!$A$4:$A$203,0)),""))</x:f>
        <x:v>4</x:v>
      </x:c>
      <x:c r="E104" s="72">
        <x:v>46179</x:v>
      </x:c>
      <x:c r="F104" s="104">
        <x:v>0.58333333333333337</x:v>
      </x:c>
      <x:c r="G104" s="64" t="s">
        <x:v>34</x:v>
      </x:c>
      <x:c r="H104" s="64" t="s">
        <x:v>78</x:v>
      </x:c>
      <x:c r="I104" s="92" t="n">
        <x:f>IF(B104="","",IFERROR(INDEX(Planos_Contratos!$G$4:$G$203,MATCH(B104,Planos_Contratos!$A$4:$A$203,0)),""))</x:f>
        <x:v>270</x:v>
      </x:c>
    </x:row>
    <x:row r="105" ht="20" customHeight="1">
      <x:c r="A105" s="68">
        <x:f t="shared" si="1"/>
        <x:v>102</x:v>
      </x:c>
      <x:c r="B105" s="64">
        <x:v>16</x:v>
      </x:c>
      <x:c r="C105" s="68" t="str">
        <x:f>IF(B105="","",IFERROR(INDEX(Planos_Contratos!$B$4:$B$203,MATCH(B105,Planos_Contratos!$A$4:$A$203,0)),""))</x:f>
        <x:v>Paciente 010</x:v>
      </x:c>
      <x:c r="D105" s="68" t="n">
        <x:f>IF(B105="","",IFERROR(INDEX(Planos_Contratos!$C$4:$C$203,MATCH(B105,Planos_Contratos!$A$4:$A$203,0)),""))</x:f>
        <x:v>10</x:v>
      </x:c>
      <x:c r="E105" s="72">
        <x:v>46179</x:v>
      </x:c>
      <x:c r="F105" s="104">
        <x:v>0.4375</x:v>
      </x:c>
      <x:c r="G105" s="64" t="s">
        <x:v>34</x:v>
      </x:c>
      <x:c r="H105" s="64" t="s">
        <x:v>78</x:v>
      </x:c>
      <x:c r="I105" s="92" t="n">
        <x:f>IF(B105="","",IFERROR(INDEX(Planos_Contratos!$G$4:$G$203,MATCH(B105,Planos_Contratos!$A$4:$A$203,0)),""))</x:f>
        <x:v>81</x:v>
      </x:c>
    </x:row>
    <x:row r="106" ht="20" customHeight="1">
      <x:c r="A106" s="68">
        <x:f t="shared" si="1"/>
        <x:v>103</x:v>
      </x:c>
      <x:c r="B106" s="64">
        <x:v>3</x:v>
      </x:c>
      <x:c r="C106" s="68" t="str">
        <x:f>IF(B106="","",IFERROR(INDEX(Planos_Contratos!$B$4:$B$203,MATCH(B106,Planos_Contratos!$A$4:$A$203,0)),""))</x:f>
        <x:v>Paciente 003</x:v>
      </x:c>
      <x:c r="D106" s="68" t="n">
        <x:f>IF(B106="","",IFERROR(INDEX(Planos_Contratos!$C$4:$C$203,MATCH(B106,Planos_Contratos!$A$4:$A$203,0)),""))</x:f>
        <x:v>3</x:v>
      </x:c>
      <x:c r="E106" s="72">
        <x:v>46181</x:v>
      </x:c>
      <x:c r="F106" s="104">
        <x:v>0.45833333333333331</x:v>
      </x:c>
      <x:c r="G106" s="64" t="s">
        <x:v>34</x:v>
      </x:c>
      <x:c r="H106" s="64" t="s">
        <x:v>78</x:v>
      </x:c>
      <x:c r="I106" s="92" t="n">
        <x:f>IF(B106="","",IFERROR(INDEX(Planos_Contratos!$G$4:$G$203,MATCH(B106,Planos_Contratos!$A$4:$A$203,0)),""))</x:f>
        <x:v>180</x:v>
      </x:c>
    </x:row>
    <x:row r="107" ht="20" customHeight="1">
      <x:c r="A107" s="68">
        <x:f t="shared" si="1"/>
        <x:v>104</x:v>
      </x:c>
      <x:c r="B107" s="64">
        <x:v>8</x:v>
      </x:c>
      <x:c r="C107" s="68" t="str">
        <x:f>IF(B107="","",IFERROR(INDEX(Planos_Contratos!$B$4:$B$203,MATCH(B107,Planos_Contratos!$A$4:$A$203,0)),""))</x:f>
        <x:v>Paciente 008</x:v>
      </x:c>
      <x:c r="D107" s="68" t="n">
        <x:f>IF(B107="","",IFERROR(INDEX(Planos_Contratos!$C$4:$C$203,MATCH(B107,Planos_Contratos!$A$4:$A$203,0)),""))</x:f>
        <x:v>8</x:v>
      </x:c>
      <x:c r="E107" s="72">
        <x:v>46182</x:v>
      </x:c>
      <x:c r="F107" s="104">
        <x:v>0.41666666666666669</x:v>
      </x:c>
      <x:c r="G107" s="64" t="s">
        <x:v>34</x:v>
      </x:c>
      <x:c r="H107" s="64" t="s">
        <x:v>78</x:v>
      </x:c>
      <x:c r="I107" s="92" t="n">
        <x:f>IF(B107="","",IFERROR(INDEX(Planos_Contratos!$G$4:$G$203,MATCH(B107,Planos_Contratos!$A$4:$A$203,0)),""))</x:f>
        <x:v>180</x:v>
      </x:c>
    </x:row>
    <x:row r="108" ht="20" customHeight="1">
      <x:c r="A108" s="68">
        <x:f t="shared" si="1"/>
        <x:v>105</x:v>
      </x:c>
      <x:c r="B108" s="64">
        <x:v>10</x:v>
      </x:c>
      <x:c r="C108" s="68" t="str">
        <x:f>IF(B108="","",IFERROR(INDEX(Planos_Contratos!$B$4:$B$203,MATCH(B108,Planos_Contratos!$A$4:$A$203,0)),""))</x:f>
        <x:v>Paciente 010</x:v>
      </x:c>
      <x:c r="D108" s="68" t="n">
        <x:f>IF(B108="","",IFERROR(INDEX(Planos_Contratos!$C$4:$C$203,MATCH(B108,Planos_Contratos!$A$4:$A$203,0)),""))</x:f>
        <x:v>10</x:v>
      </x:c>
      <x:c r="E108" s="72">
        <x:v>46182</x:v>
      </x:c>
      <x:c r="F108" s="104">
        <x:v>0.41666666666666669</x:v>
      </x:c>
      <x:c r="G108" s="64" t="s">
        <x:v>34</x:v>
      </x:c>
      <x:c r="H108" s="64" t="s">
        <x:v>78</x:v>
      </x:c>
      <x:c r="I108" s="92" t="n">
        <x:f>IF(B108="","",IFERROR(INDEX(Planos_Contratos!$G$4:$G$203,MATCH(B108,Planos_Contratos!$A$4:$A$203,0)),""))</x:f>
        <x:v>81</x:v>
      </x:c>
    </x:row>
    <x:row r="109" ht="20" customHeight="1">
      <x:c r="A109" s="68">
        <x:f t="shared" si="1"/>
        <x:v>106</x:v>
      </x:c>
      <x:c r="B109" s="64">
        <x:v>5</x:v>
      </x:c>
      <x:c r="C109" s="68" t="str">
        <x:f>IF(B109="","",IFERROR(INDEX(Planos_Contratos!$B$4:$B$203,MATCH(B109,Planos_Contratos!$A$4:$A$203,0)),""))</x:f>
        <x:v>Paciente 005</x:v>
      </x:c>
      <x:c r="D109" s="68" t="n">
        <x:f>IF(B109="","",IFERROR(INDEX(Planos_Contratos!$C$4:$C$203,MATCH(B109,Planos_Contratos!$A$4:$A$203,0)),""))</x:f>
        <x:v>5</x:v>
      </x:c>
      <x:c r="E109" s="72">
        <x:v>46183</x:v>
      </x:c>
      <x:c r="F109" s="104">
        <x:v>0.70833333333333337</x:v>
      </x:c>
      <x:c r="G109" s="64" t="s">
        <x:v>34</x:v>
      </x:c>
      <x:c r="H109" s="64" t="s">
        <x:v>78</x:v>
      </x:c>
      <x:c r="I109" s="92" t="n">
        <x:f>IF(B109="","",IFERROR(INDEX(Planos_Contratos!$G$4:$G$203,MATCH(B109,Planos_Contratos!$A$4:$A$203,0)),""))</x:f>
        <x:v>81</x:v>
      </x:c>
    </x:row>
    <x:row r="110" ht="20" customHeight="1">
      <x:c r="A110" s="68">
        <x:f t="shared" si="1"/>
        <x:v>107</x:v>
      </x:c>
      <x:c r="B110" s="64">
        <x:v>16</x:v>
      </x:c>
      <x:c r="C110" s="68" t="str">
        <x:f>IF(B110="","",IFERROR(INDEX(Planos_Contratos!$B$4:$B$203,MATCH(B110,Planos_Contratos!$A$4:$A$203,0)),""))</x:f>
        <x:v>Paciente 010</x:v>
      </x:c>
      <x:c r="D110" s="68" t="n">
        <x:f>IF(B110="","",IFERROR(INDEX(Planos_Contratos!$C$4:$C$203,MATCH(B110,Planos_Contratos!$A$4:$A$203,0)),""))</x:f>
        <x:v>10</x:v>
      </x:c>
      <x:c r="E110" s="72">
        <x:v>46183</x:v>
      </x:c>
      <x:c r="F110" s="104">
        <x:v>0.70833333333333337</x:v>
      </x:c>
      <x:c r="G110" s="64" t="s">
        <x:v>34</x:v>
      </x:c>
      <x:c r="H110" s="64" t="s">
        <x:v>81</x:v>
      </x:c>
      <x:c r="I110" s="92" t="n">
        <x:f>IF(B110="","",IFERROR(INDEX(Planos_Contratos!$G$4:$G$203,MATCH(B110,Planos_Contratos!$A$4:$A$203,0)),""))</x:f>
        <x:v>81</x:v>
      </x:c>
    </x:row>
    <x:row r="111" ht="20" customHeight="1">
      <x:c r="A111" s="68">
        <x:f t="shared" si="1"/>
        <x:v>108</x:v>
      </x:c>
      <x:c r="B111" s="64">
        <x:v>10</x:v>
      </x:c>
      <x:c r="C111" s="68" t="str">
        <x:f>IF(B111="","",IFERROR(INDEX(Planos_Contratos!$B$4:$B$203,MATCH(B111,Planos_Contratos!$A$4:$A$203,0)),""))</x:f>
        <x:v>Paciente 010</x:v>
      </x:c>
      <x:c r="D111" s="68" t="n">
        <x:f>IF(B111="","",IFERROR(INDEX(Planos_Contratos!$C$4:$C$203,MATCH(B111,Planos_Contratos!$A$4:$A$203,0)),""))</x:f>
        <x:v>10</x:v>
      </x:c>
      <x:c r="E111" s="72">
        <x:v>46189</x:v>
      </x:c>
      <x:c r="F111" s="104">
        <x:v>0.66666666666666663</x:v>
      </x:c>
      <x:c r="G111" s="64" t="s">
        <x:v>34</x:v>
      </x:c>
      <x:c r="H111" s="64" t="s">
        <x:v>78</x:v>
      </x:c>
      <x:c r="I111" s="92" t="n">
        <x:f>IF(B111="","",IFERROR(INDEX(Planos_Contratos!$G$4:$G$203,MATCH(B111,Planos_Contratos!$A$4:$A$203,0)),""))</x:f>
        <x:v>81</x:v>
      </x:c>
    </x:row>
    <x:row r="112" ht="20" customHeight="1">
      <x:c r="A112" s="68">
        <x:f t="shared" si="1"/>
        <x:v>109</x:v>
      </x:c>
      <x:c r="B112" s="64">
        <x:v>5</x:v>
      </x:c>
      <x:c r="C112" s="68" t="str">
        <x:f>IF(B112="","",IFERROR(INDEX(Planos_Contratos!$B$4:$B$203,MATCH(B112,Planos_Contratos!$A$4:$A$203,0)),""))</x:f>
        <x:v>Paciente 005</x:v>
      </x:c>
      <x:c r="D112" s="68" t="n">
        <x:f>IF(B112="","",IFERROR(INDEX(Planos_Contratos!$C$4:$C$203,MATCH(B112,Planos_Contratos!$A$4:$A$203,0)),""))</x:f>
        <x:v>5</x:v>
      </x:c>
      <x:c r="E112" s="72">
        <x:v>46190</x:v>
      </x:c>
      <x:c r="F112" s="104">
        <x:v>0.54166666666666663</x:v>
      </x:c>
      <x:c r="G112" s="64" t="s">
        <x:v>34</x:v>
      </x:c>
      <x:c r="H112" s="64" t="s">
        <x:v>78</x:v>
      </x:c>
      <x:c r="I112" s="92" t="n">
        <x:f>IF(B112="","",IFERROR(INDEX(Planos_Contratos!$G$4:$G$203,MATCH(B112,Planos_Contratos!$A$4:$A$203,0)),""))</x:f>
        <x:v>81</x:v>
      </x:c>
    </x:row>
    <x:row r="113" ht="20" customHeight="1">
      <x:c r="A113" s="68">
        <x:f t="shared" si="1"/>
        <x:v>110</x:v>
      </x:c>
      <x:c r="B113" s="64">
        <x:v>7</x:v>
      </x:c>
      <x:c r="C113" s="68" t="str">
        <x:f>IF(B113="","",IFERROR(INDEX(Planos_Contratos!$B$4:$B$203,MATCH(B113,Planos_Contratos!$A$4:$A$203,0)),""))</x:f>
        <x:v>Paciente 007</x:v>
      </x:c>
      <x:c r="D113" s="68" t="n">
        <x:f>IF(B113="","",IFERROR(INDEX(Planos_Contratos!$C$4:$C$203,MATCH(B113,Planos_Contratos!$A$4:$A$203,0)),""))</x:f>
        <x:v>7</x:v>
      </x:c>
      <x:c r="E113" s="72">
        <x:v>46192</x:v>
      </x:c>
      <x:c r="F113" s="104">
        <x:v>0.33333333333333331</x:v>
      </x:c>
      <x:c r="G113" s="64" t="s">
        <x:v>34</x:v>
      </x:c>
      <x:c r="H113" s="64" t="s">
        <x:v>78</x:v>
      </x:c>
      <x:c r="I113" s="92" t="n">
        <x:f>IF(B113="","",IFERROR(INDEX(Planos_Contratos!$G$4:$G$203,MATCH(B113,Planos_Contratos!$A$4:$A$203,0)),""))</x:f>
        <x:v>270</x:v>
      </x:c>
    </x:row>
    <x:row r="114" ht="20" customHeight="1">
      <x:c r="A114" s="68">
        <x:f t="shared" si="1"/>
        <x:v>111</x:v>
      </x:c>
      <x:c r="B114" s="64">
        <x:v>17</x:v>
      </x:c>
      <x:c r="C114" s="68" t="str">
        <x:f>IF(B114="","",IFERROR(INDEX(Planos_Contratos!$B$4:$B$203,MATCH(B114,Planos_Contratos!$A$4:$A$203,0)),""))</x:f>
        <x:v>Paciente 009</x:v>
      </x:c>
      <x:c r="D114" s="68" t="n">
        <x:f>IF(B114="","",IFERROR(INDEX(Planos_Contratos!$C$4:$C$203,MATCH(B114,Planos_Contratos!$A$4:$A$203,0)),""))</x:f>
        <x:v>9</x:v>
      </x:c>
      <x:c r="E114" s="72">
        <x:v>46192</x:v>
      </x:c>
      <x:c r="F114" s="104">
        <x:v>0.45833333333333331</x:v>
      </x:c>
      <x:c r="G114" s="64" t="s">
        <x:v>37</x:v>
      </x:c>
      <x:c r="H114" s="64" t="s">
        <x:v>78</x:v>
      </x:c>
      <x:c r="I114" s="92" t="n">
        <x:f>IF(B114="","",IFERROR(INDEX(Planos_Contratos!$G$4:$G$203,MATCH(B114,Planos_Contratos!$A$4:$A$203,0)),""))</x:f>
        <x:v>180</x:v>
      </x:c>
    </x:row>
    <x:row r="115" ht="20" customHeight="1">
      <x:c r="A115" s="68">
        <x:f t="shared" si="1"/>
        <x:v>112</x:v>
      </x:c>
      <x:c r="B115" s="64">
        <x:v>4</x:v>
      </x:c>
      <x:c r="C115" s="68" t="str">
        <x:f>IF(B115="","",IFERROR(INDEX(Planos_Contratos!$B$4:$B$203,MATCH(B115,Planos_Contratos!$A$4:$A$203,0)),""))</x:f>
        <x:v>Paciente 004</x:v>
      </x:c>
      <x:c r="D115" s="68" t="n">
        <x:f>IF(B115="","",IFERROR(INDEX(Planos_Contratos!$C$4:$C$203,MATCH(B115,Planos_Contratos!$A$4:$A$203,0)),""))</x:f>
        <x:v>4</x:v>
      </x:c>
      <x:c r="E115" s="72">
        <x:v>46193</x:v>
      </x:c>
      <x:c r="F115" s="104">
        <x:v>0.45833333333333331</x:v>
      </x:c>
      <x:c r="G115" s="64" t="s">
        <x:v>34</x:v>
      </x:c>
      <x:c r="H115" s="64" t="s">
        <x:v>78</x:v>
      </x:c>
      <x:c r="I115" s="92" t="n">
        <x:f>IF(B115="","",IFERROR(INDEX(Planos_Contratos!$G$4:$G$203,MATCH(B115,Planos_Contratos!$A$4:$A$203,0)),""))</x:f>
        <x:v>270</x:v>
      </x:c>
    </x:row>
    <x:row r="116" ht="20" customHeight="1">
      <x:c r="A116" s="68">
        <x:f t="shared" si="1"/>
        <x:v>113</x:v>
      </x:c>
      <x:c r="B116" s="64">
        <x:v>3</x:v>
      </x:c>
      <x:c r="C116" s="68" t="str">
        <x:f>IF(B116="","",IFERROR(INDEX(Planos_Contratos!$B$4:$B$203,MATCH(B116,Planos_Contratos!$A$4:$A$203,0)),""))</x:f>
        <x:v>Paciente 003</x:v>
      </x:c>
      <x:c r="D116" s="68" t="n">
        <x:f>IF(B116="","",IFERROR(INDEX(Planos_Contratos!$C$4:$C$203,MATCH(B116,Planos_Contratos!$A$4:$A$203,0)),""))</x:f>
        <x:v>3</x:v>
      </x:c>
      <x:c r="E116" s="72">
        <x:v>46195</x:v>
      </x:c>
      <x:c r="F116" s="104">
        <x:v>0.375</x:v>
      </x:c>
      <x:c r="G116" s="64" t="s">
        <x:v>34</x:v>
      </x:c>
      <x:c r="H116" s="64" t="s">
        <x:v>78</x:v>
      </x:c>
      <x:c r="I116" s="92" t="n">
        <x:f>IF(B116="","",IFERROR(INDEX(Planos_Contratos!$G$4:$G$203,MATCH(B116,Planos_Contratos!$A$4:$A$203,0)),""))</x:f>
        <x:v>180</x:v>
      </x:c>
    </x:row>
    <x:row r="117" ht="20" customHeight="1">
      <x:c r="A117" s="68">
        <x:f t="shared" si="1"/>
        <x:v>114</x:v>
      </x:c>
      <x:c r="B117" s="64">
        <x:v>8</x:v>
      </x:c>
      <x:c r="C117" s="68" t="str">
        <x:f>IF(B117="","",IFERROR(INDEX(Planos_Contratos!$B$4:$B$203,MATCH(B117,Planos_Contratos!$A$4:$A$203,0)),""))</x:f>
        <x:v>Paciente 008</x:v>
      </x:c>
      <x:c r="D117" s="68" t="n">
        <x:f>IF(B117="","",IFERROR(INDEX(Planos_Contratos!$C$4:$C$203,MATCH(B117,Planos_Contratos!$A$4:$A$203,0)),""))</x:f>
        <x:v>8</x:v>
      </x:c>
      <x:c r="E117" s="72">
        <x:v>46196</x:v>
      </x:c>
      <x:c r="F117" s="104">
        <x:v>0.66666666666666663</x:v>
      </x:c>
      <x:c r="G117" s="64" t="s">
        <x:v>34</x:v>
      </x:c>
      <x:c r="H117" s="64" t="s">
        <x:v>78</x:v>
      </x:c>
      <x:c r="I117" s="92" t="n">
        <x:f>IF(B117="","",IFERROR(INDEX(Planos_Contratos!$G$4:$G$203,MATCH(B117,Planos_Contratos!$A$4:$A$203,0)),""))</x:f>
        <x:v>180</x:v>
      </x:c>
    </x:row>
    <x:row r="118" ht="20" customHeight="1">
      <x:c r="A118" s="68">
        <x:f t="shared" si="1"/>
        <x:v>115</x:v>
      </x:c>
      <x:c r="B118" s="64">
        <x:v>10</x:v>
      </x:c>
      <x:c r="C118" s="68" t="str">
        <x:f>IF(B118="","",IFERROR(INDEX(Planos_Contratos!$B$4:$B$203,MATCH(B118,Planos_Contratos!$A$4:$A$203,0)),""))</x:f>
        <x:v>Paciente 010</x:v>
      </x:c>
      <x:c r="D118" s="68" t="n">
        <x:f>IF(B118="","",IFERROR(INDEX(Planos_Contratos!$C$4:$C$203,MATCH(B118,Planos_Contratos!$A$4:$A$203,0)),""))</x:f>
        <x:v>10</x:v>
      </x:c>
      <x:c r="E118" s="72">
        <x:v>46196</x:v>
      </x:c>
      <x:c r="F118" s="104">
        <x:v>0.375</x:v>
      </x:c>
      <x:c r="G118" s="64" t="s">
        <x:v>34</x:v>
      </x:c>
      <x:c r="H118" s="64" t="s">
        <x:v>78</x:v>
      </x:c>
      <x:c r="I118" s="92" t="n">
        <x:f>IF(B118="","",IFERROR(INDEX(Planos_Contratos!$G$4:$G$203,MATCH(B118,Planos_Contratos!$A$4:$A$203,0)),""))</x:f>
        <x:v>81</x:v>
      </x:c>
    </x:row>
    <x:row r="119" ht="20" customHeight="1">
      <x:c r="A119" s="68">
        <x:f t="shared" si="1"/>
        <x:v>116</x:v>
      </x:c>
      <x:c r="B119" s="64">
        <x:v>5</x:v>
      </x:c>
      <x:c r="C119" s="68" t="str">
        <x:f>IF(B119="","",IFERROR(INDEX(Planos_Contratos!$B$4:$B$203,MATCH(B119,Planos_Contratos!$A$4:$A$203,0)),""))</x:f>
        <x:v>Paciente 005</x:v>
      </x:c>
      <x:c r="D119" s="68" t="n">
        <x:f>IF(B119="","",IFERROR(INDEX(Planos_Contratos!$C$4:$C$203,MATCH(B119,Planos_Contratos!$A$4:$A$203,0)),""))</x:f>
        <x:v>5</x:v>
      </x:c>
      <x:c r="E119" s="72">
        <x:v>46197</x:v>
      </x:c>
      <x:c r="F119" s="104">
        <x:v>0.41666666666666669</x:v>
      </x:c>
      <x:c r="G119" s="64" t="s">
        <x:v>34</x:v>
      </x:c>
      <x:c r="H119" s="64" t="s">
        <x:v>78</x:v>
      </x:c>
      <x:c r="I119" s="92" t="n">
        <x:f>IF(B119="","",IFERROR(INDEX(Planos_Contratos!$G$4:$G$203,MATCH(B119,Planos_Contratos!$A$4:$A$203,0)),""))</x:f>
        <x:v>81</x:v>
      </x:c>
    </x:row>
    <x:row r="120" ht="20" customHeight="1">
      <x:c r="A120" s="68">
        <x:f t="shared" si="1"/>
        <x:v>117</x:v>
      </x:c>
      <x:c r="B120" s="64">
        <x:v>10</x:v>
      </x:c>
      <x:c r="C120" s="68" t="str">
        <x:f>IF(B120="","",IFERROR(INDEX(Planos_Contratos!$B$4:$B$203,MATCH(B120,Planos_Contratos!$A$4:$A$203,0)),""))</x:f>
        <x:v>Paciente 010</x:v>
      </x:c>
      <x:c r="D120" s="68" t="n">
        <x:f>IF(B120="","",IFERROR(INDEX(Planos_Contratos!$C$4:$C$203,MATCH(B120,Planos_Contratos!$A$4:$A$203,0)),""))</x:f>
        <x:v>10</x:v>
      </x:c>
      <x:c r="E120" s="72">
        <x:v>46203</x:v>
      </x:c>
      <x:c r="F120" s="104">
        <x:v>0.66666666666666663</x:v>
      </x:c>
      <x:c r="G120" s="64" t="s">
        <x:v>34</x:v>
      </x:c>
      <x:c r="H120" s="64" t="s">
        <x:v>78</x:v>
      </x:c>
      <x:c r="I120" s="92" t="n">
        <x:f>IF(B120="","",IFERROR(INDEX(Planos_Contratos!$G$4:$G$203,MATCH(B120,Planos_Contratos!$A$4:$A$203,0)),""))</x:f>
        <x:v>81</x:v>
      </x:c>
    </x:row>
    <x:row r="121" ht="20" customHeight="1">
      <x:c r="A121" s="68">
        <x:f t="shared" si="1"/>
        <x:v>118</x:v>
      </x:c>
      <x:c r="B121" s="64">
        <x:v>5</x:v>
      </x:c>
      <x:c r="C121" s="68" t="str">
        <x:f>IF(B121="","",IFERROR(INDEX(Planos_Contratos!$B$4:$B$203,MATCH(B121,Planos_Contratos!$A$4:$A$203,0)),""))</x:f>
        <x:v>Paciente 005</x:v>
      </x:c>
      <x:c r="D121" s="68" t="n">
        <x:f>IF(B121="","",IFERROR(INDEX(Planos_Contratos!$C$4:$C$203,MATCH(B121,Planos_Contratos!$A$4:$A$203,0)),""))</x:f>
        <x:v>5</x:v>
      </x:c>
      <x:c r="E121" s="72">
        <x:v>46204</x:v>
      </x:c>
      <x:c r="F121" s="104">
        <x:v>0.41666666666666669</x:v>
      </x:c>
      <x:c r="G121" s="64" t="s">
        <x:v>34</x:v>
      </x:c>
      <x:c r="H121" s="64" t="s">
        <x:v>78</x:v>
      </x:c>
      <x:c r="I121" s="92" t="n">
        <x:f>IF(B121="","",IFERROR(INDEX(Planos_Contratos!$G$4:$G$203,MATCH(B121,Planos_Contratos!$A$4:$A$203,0)),""))</x:f>
        <x:v>81</x:v>
      </x:c>
    </x:row>
    <x:row r="122" ht="20" customHeight="1">
      <x:c r="A122" s="68">
        <x:f t="shared" si="1"/>
        <x:v>119</x:v>
      </x:c>
      <x:c r="B122" s="64">
        <x:v>7</x:v>
      </x:c>
      <x:c r="C122" s="68" t="str">
        <x:f>IF(B122="","",IFERROR(INDEX(Planos_Contratos!$B$4:$B$203,MATCH(B122,Planos_Contratos!$A$4:$A$203,0)),""))</x:f>
        <x:v>Paciente 007</x:v>
      </x:c>
      <x:c r="D122" s="68" t="n">
        <x:f>IF(B122="","",IFERROR(INDEX(Planos_Contratos!$C$4:$C$203,MATCH(B122,Planos_Contratos!$A$4:$A$203,0)),""))</x:f>
        <x:v>7</x:v>
      </x:c>
      <x:c r="E122" s="72">
        <x:v>46206</x:v>
      </x:c>
      <x:c r="F122" s="104">
        <x:v>0.33333333333333331</x:v>
      </x:c>
      <x:c r="G122" s="64" t="s">
        <x:v>34</x:v>
      </x:c>
      <x:c r="H122" s="64" t="s">
        <x:v>78</x:v>
      </x:c>
      <x:c r="I122" s="92" t="n">
        <x:f>IF(B122="","",IFERROR(INDEX(Planos_Contratos!$G$4:$G$203,MATCH(B122,Planos_Contratos!$A$4:$A$203,0)),""))</x:f>
        <x:v>270</x:v>
      </x:c>
    </x:row>
    <x:row r="123" ht="20" customHeight="1">
      <x:c r="A123" s="68">
        <x:f t="shared" si="1"/>
        <x:v>120</x:v>
      </x:c>
      <x:c r="B123" s="64">
        <x:v>17</x:v>
      </x:c>
      <x:c r="C123" s="68" t="str">
        <x:f>IF(B123="","",IFERROR(INDEX(Planos_Contratos!$B$4:$B$203,MATCH(B123,Planos_Contratos!$A$4:$A$203,0)),""))</x:f>
        <x:v>Paciente 009</x:v>
      </x:c>
      <x:c r="D123" s="68" t="n">
        <x:f>IF(B123="","",IFERROR(INDEX(Planos_Contratos!$C$4:$C$203,MATCH(B123,Planos_Contratos!$A$4:$A$203,0)),""))</x:f>
        <x:v>9</x:v>
      </x:c>
      <x:c r="E123" s="72">
        <x:v>46206</x:v>
      </x:c>
      <x:c r="F123" s="104">
        <x:v>0.41666666666666669</x:v>
      </x:c>
      <x:c r="G123" s="64" t="s">
        <x:v>37</x:v>
      </x:c>
      <x:c r="H123" s="64" t="s">
        <x:v>78</x:v>
      </x:c>
      <x:c r="I123" s="92" t="n">
        <x:f>IF(B123="","",IFERROR(INDEX(Planos_Contratos!$G$4:$G$203,MATCH(B123,Planos_Contratos!$A$4:$A$203,0)),""))</x:f>
        <x:v>180</x:v>
      </x:c>
    </x:row>
    <x:row r="124" ht="20" customHeight="1">
      <x:c r="A124" s="68">
        <x:f t="shared" si="1"/>
        <x:v>121</x:v>
      </x:c>
      <x:c r="B124" s="64">
        <x:v>4</x:v>
      </x:c>
      <x:c r="C124" s="68" t="str">
        <x:f>IF(B124="","",IFERROR(INDEX(Planos_Contratos!$B$4:$B$203,MATCH(B124,Planos_Contratos!$A$4:$A$203,0)),""))</x:f>
        <x:v>Paciente 004</x:v>
      </x:c>
      <x:c r="D124" s="68" t="n">
        <x:f>IF(B124="","",IFERROR(INDEX(Planos_Contratos!$C$4:$C$203,MATCH(B124,Planos_Contratos!$A$4:$A$203,0)),""))</x:f>
        <x:v>4</x:v>
      </x:c>
      <x:c r="E124" s="72">
        <x:v>46207</x:v>
      </x:c>
      <x:c r="F124" s="104">
        <x:v>0.60416666666666663</x:v>
      </x:c>
      <x:c r="G124" s="64" t="s">
        <x:v>34</x:v>
      </x:c>
      <x:c r="H124" s="64" t="s">
        <x:v>78</x:v>
      </x:c>
      <x:c r="I124" s="92" t="n">
        <x:f>IF(B124="","",IFERROR(INDEX(Planos_Contratos!$G$4:$G$203,MATCH(B124,Planos_Contratos!$A$4:$A$203,0)),""))</x:f>
        <x:v>270</x:v>
      </x:c>
    </x:row>
    <x:row r="125" ht="20" customHeight="1">
      <x:c r="A125" s="68">
        <x:f t="shared" si="1"/>
        <x:v>122</x:v>
      </x:c>
      <x:c r="B125" s="64">
        <x:v>3</x:v>
      </x:c>
      <x:c r="C125" s="68" t="str">
        <x:f>IF(B125="","",IFERROR(INDEX(Planos_Contratos!$B$4:$B$203,MATCH(B125,Planos_Contratos!$A$4:$A$203,0)),""))</x:f>
        <x:v>Paciente 003</x:v>
      </x:c>
      <x:c r="D125" s="68" t="n">
        <x:f>IF(B125="","",IFERROR(INDEX(Planos_Contratos!$C$4:$C$203,MATCH(B125,Planos_Contratos!$A$4:$A$203,0)),""))</x:f>
        <x:v>3</x:v>
      </x:c>
      <x:c r="E125" s="72">
        <x:v>46209</x:v>
      </x:c>
      <x:c r="F125" s="104">
        <x:v>0.625</x:v>
      </x:c>
      <x:c r="G125" s="64" t="s">
        <x:v>34</x:v>
      </x:c>
      <x:c r="H125" s="64" t="s">
        <x:v>78</x:v>
      </x:c>
      <x:c r="I125" s="92" t="n">
        <x:f>IF(B125="","",IFERROR(INDEX(Planos_Contratos!$G$4:$G$203,MATCH(B125,Planos_Contratos!$A$4:$A$203,0)),""))</x:f>
        <x:v>180</x:v>
      </x:c>
    </x:row>
    <x:row r="126" ht="20" customHeight="1">
      <x:c r="A126" s="68">
        <x:f t="shared" si="1"/>
        <x:v>123</x:v>
      </x:c>
      <x:c r="B126" s="64">
        <x:v>8</x:v>
      </x:c>
      <x:c r="C126" s="68" t="str">
        <x:f>IF(B126="","",IFERROR(INDEX(Planos_Contratos!$B$4:$B$203,MATCH(B126,Planos_Contratos!$A$4:$A$203,0)),""))</x:f>
        <x:v>Paciente 008</x:v>
      </x:c>
      <x:c r="D126" s="68" t="n">
        <x:f>IF(B126="","",IFERROR(INDEX(Planos_Contratos!$C$4:$C$203,MATCH(B126,Planos_Contratos!$A$4:$A$203,0)),""))</x:f>
        <x:v>8</x:v>
      </x:c>
      <x:c r="E126" s="72">
        <x:v>46210</x:v>
      </x:c>
      <x:c r="F126" s="104">
        <x:v>0.39583333333333331</x:v>
      </x:c>
      <x:c r="G126" s="64" t="s">
        <x:v>34</x:v>
      </x:c>
      <x:c r="H126" s="64" t="s">
        <x:v>78</x:v>
      </x:c>
      <x:c r="I126" s="92" t="n">
        <x:f>IF(B126="","",IFERROR(INDEX(Planos_Contratos!$G$4:$G$203,MATCH(B126,Planos_Contratos!$A$4:$A$203,0)),""))</x:f>
        <x:v>180</x:v>
      </x:c>
    </x:row>
    <x:row r="127" ht="20" customHeight="1">
      <x:c r="A127" s="68">
        <x:f t="shared" si="1"/>
        <x:v>124</x:v>
      </x:c>
      <x:c r="B127" s="64">
        <x:v>10</x:v>
      </x:c>
      <x:c r="C127" s="68" t="str">
        <x:f>IF(B127="","",IFERROR(INDEX(Planos_Contratos!$B$4:$B$203,MATCH(B127,Planos_Contratos!$A$4:$A$203,0)),""))</x:f>
        <x:v>Paciente 010</x:v>
      </x:c>
      <x:c r="D127" s="68" t="n">
        <x:f>IF(B127="","",IFERROR(INDEX(Planos_Contratos!$C$4:$C$203,MATCH(B127,Planos_Contratos!$A$4:$A$203,0)),""))</x:f>
        <x:v>10</x:v>
      </x:c>
      <x:c r="E127" s="72">
        <x:v>46210</x:v>
      </x:c>
      <x:c r="F127" s="104">
        <x:v>0.375</x:v>
      </x:c>
      <x:c r="G127" s="64" t="s">
        <x:v>34</x:v>
      </x:c>
      <x:c r="H127" s="64" t="s">
        <x:v>78</x:v>
      </x:c>
      <x:c r="I127" s="92" t="n">
        <x:f>IF(B127="","",IFERROR(INDEX(Planos_Contratos!$G$4:$G$203,MATCH(B127,Planos_Contratos!$A$4:$A$203,0)),""))</x:f>
        <x:v>81</x:v>
      </x:c>
    </x:row>
    <x:row r="128" ht="20" customHeight="1">
      <x:c r="A128" s="68">
        <x:f t="shared" si="1"/>
        <x:v>125</x:v>
      </x:c>
      <x:c r="B128" s="64">
        <x:v>5</x:v>
      </x:c>
      <x:c r="C128" s="68" t="str">
        <x:f>IF(B128="","",IFERROR(INDEX(Planos_Contratos!$B$4:$B$203,MATCH(B128,Planos_Contratos!$A$4:$A$203,0)),""))</x:f>
        <x:v>Paciente 005</x:v>
      </x:c>
      <x:c r="D128" s="68" t="n">
        <x:f>IF(B128="","",IFERROR(INDEX(Planos_Contratos!$C$4:$C$203,MATCH(B128,Planos_Contratos!$A$4:$A$203,0)),""))</x:f>
        <x:v>5</x:v>
      </x:c>
      <x:c r="E128" s="72">
        <x:v>46211</x:v>
      </x:c>
      <x:c r="F128" s="104">
        <x:v>0.75</x:v>
      </x:c>
      <x:c r="G128" s="64" t="s">
        <x:v>34</x:v>
      </x:c>
      <x:c r="H128" s="64" t="s">
        <x:v>78</x:v>
      </x:c>
      <x:c r="I128" s="92" t="n">
        <x:f>IF(B128="","",IFERROR(INDEX(Planos_Contratos!$G$4:$G$203,MATCH(B128,Planos_Contratos!$A$4:$A$203,0)),""))</x:f>
        <x:v>81</x:v>
      </x:c>
    </x:row>
    <x:row r="129" ht="20" customHeight="1">
      <x:c r="A129" s="68">
        <x:f t="shared" si="1"/>
        <x:v>126</x:v>
      </x:c>
      <x:c r="B129" s="64">
        <x:v>10</x:v>
      </x:c>
      <x:c r="C129" s="68" t="str">
        <x:f>IF(B129="","",IFERROR(INDEX(Planos_Contratos!$B$4:$B$203,MATCH(B129,Planos_Contratos!$A$4:$A$203,0)),""))</x:f>
        <x:v>Paciente 010</x:v>
      </x:c>
      <x:c r="D129" s="68" t="n">
        <x:f>IF(B129="","",IFERROR(INDEX(Planos_Contratos!$C$4:$C$203,MATCH(B129,Planos_Contratos!$A$4:$A$203,0)),""))</x:f>
        <x:v>10</x:v>
      </x:c>
      <x:c r="E129" s="72">
        <x:v>46217</x:v>
      </x:c>
      <x:c r="F129" s="104">
        <x:v>0.70833333333333337</x:v>
      </x:c>
      <x:c r="G129" s="64" t="s">
        <x:v>34</x:v>
      </x:c>
      <x:c r="H129" s="64" t="s">
        <x:v>78</x:v>
      </x:c>
      <x:c r="I129" s="92" t="n">
        <x:f>IF(B129="","",IFERROR(INDEX(Planos_Contratos!$G$4:$G$203,MATCH(B129,Planos_Contratos!$A$4:$A$203,0)),""))</x:f>
        <x:v>81</x:v>
      </x:c>
    </x:row>
    <x:row r="130" ht="20" customHeight="1">
      <x:c r="A130" s="68">
        <x:f t="shared" si="1"/>
        <x:v>127</x:v>
      </x:c>
      <x:c r="B130" s="64">
        <x:v>5</x:v>
      </x:c>
      <x:c r="C130" s="68" t="str">
        <x:f>IF(B130="","",IFERROR(INDEX(Planos_Contratos!$B$4:$B$203,MATCH(B130,Planos_Contratos!$A$4:$A$203,0)),""))</x:f>
        <x:v>Paciente 005</x:v>
      </x:c>
      <x:c r="D130" s="68" t="n">
        <x:f>IF(B130="","",IFERROR(INDEX(Planos_Contratos!$C$4:$C$203,MATCH(B130,Planos_Contratos!$A$4:$A$203,0)),""))</x:f>
        <x:v>5</x:v>
      </x:c>
      <x:c r="E130" s="72">
        <x:v>46218</x:v>
      </x:c>
      <x:c r="F130" s="104">
        <x:v>0.66666666666666663</x:v>
      </x:c>
      <x:c r="G130" s="64" t="s">
        <x:v>34</x:v>
      </x:c>
      <x:c r="H130" s="64" t="s">
        <x:v>78</x:v>
      </x:c>
      <x:c r="I130" s="92" t="n">
        <x:f>IF(B130="","",IFERROR(INDEX(Planos_Contratos!$G$4:$G$203,MATCH(B130,Planos_Contratos!$A$4:$A$203,0)),""))</x:f>
        <x:v>81</x:v>
      </x:c>
    </x:row>
    <x:row r="131" ht="20" customHeight="1">
      <x:c r="A131" s="68">
        <x:f t="shared" si="1"/>
        <x:v>128</x:v>
      </x:c>
      <x:c r="B131" s="64">
        <x:v>7</x:v>
      </x:c>
      <x:c r="C131" s="68" t="str">
        <x:f>IF(B131="","",IFERROR(INDEX(Planos_Contratos!$B$4:$B$203,MATCH(B131,Planos_Contratos!$A$4:$A$203,0)),""))</x:f>
        <x:v>Paciente 007</x:v>
      </x:c>
      <x:c r="D131" s="68" t="n">
        <x:f>IF(B131="","",IFERROR(INDEX(Planos_Contratos!$C$4:$C$203,MATCH(B131,Planos_Contratos!$A$4:$A$203,0)),""))</x:f>
        <x:v>7</x:v>
      </x:c>
      <x:c r="E131" s="72">
        <x:v>46220</x:v>
      </x:c>
      <x:c r="F131" s="104">
        <x:v>0.375</x:v>
      </x:c>
      <x:c r="G131" s="64" t="s">
        <x:v>34</x:v>
      </x:c>
      <x:c r="H131" s="64" t="s">
        <x:v>78</x:v>
      </x:c>
      <x:c r="I131" s="92" t="n">
        <x:f>IF(B131="","",IFERROR(INDEX(Planos_Contratos!$G$4:$G$203,MATCH(B131,Planos_Contratos!$A$4:$A$203,0)),""))</x:f>
        <x:v>270</x:v>
      </x:c>
    </x:row>
    <x:row r="132" ht="20" customHeight="1">
      <x:c r="A132" s="68" t="n">
        <x:f t="shared" ref="A132:A195" si="2">IF(B132="","",ROW()-3)</x:f>
        <x:v>129</x:v>
      </x:c>
      <x:c r="B132" s="64">
        <x:v>17</x:v>
      </x:c>
      <x:c r="C132" s="68" t="str">
        <x:f>IF(B132="","",IFERROR(INDEX(Planos_Contratos!$B$4:$B$203,MATCH(B132,Planos_Contratos!$A$4:$A$203,0)),""))</x:f>
        <x:v>Paciente 009</x:v>
      </x:c>
      <x:c r="D132" s="68" t="n">
        <x:f>IF(B132="","",IFERROR(INDEX(Planos_Contratos!$C$4:$C$203,MATCH(B132,Planos_Contratos!$A$4:$A$203,0)),""))</x:f>
        <x:v>9</x:v>
      </x:c>
      <x:c r="E132" s="72">
        <x:v>46220</x:v>
      </x:c>
      <x:c r="F132" s="104">
        <x:v>0.625</x:v>
      </x:c>
      <x:c r="G132" s="64" t="s">
        <x:v>37</x:v>
      </x:c>
      <x:c r="H132" s="64" t="s">
        <x:v>78</x:v>
      </x:c>
      <x:c r="I132" s="92" t="n">
        <x:f>IF(B132="","",IFERROR(INDEX(Planos_Contratos!$G$4:$G$203,MATCH(B132,Planos_Contratos!$A$4:$A$203,0)),""))</x:f>
        <x:v>180</x:v>
      </x:c>
    </x:row>
    <x:row r="133" ht="20" customHeight="1">
      <x:c r="A133" s="68">
        <x:f t="shared" si="2"/>
        <x:v>130</x:v>
      </x:c>
      <x:c r="B133" s="64">
        <x:v>4</x:v>
      </x:c>
      <x:c r="C133" s="68" t="str">
        <x:f>IF(B133="","",IFERROR(INDEX(Planos_Contratos!$B$4:$B$203,MATCH(B133,Planos_Contratos!$A$4:$A$203,0)),""))</x:f>
        <x:v>Paciente 004</x:v>
      </x:c>
      <x:c r="D133" s="68" t="n">
        <x:f>IF(B133="","",IFERROR(INDEX(Planos_Contratos!$C$4:$C$203,MATCH(B133,Planos_Contratos!$A$4:$A$203,0)),""))</x:f>
        <x:v>4</x:v>
      </x:c>
      <x:c r="E133" s="72">
        <x:v>46221</x:v>
      </x:c>
      <x:c r="F133" s="104">
        <x:v>0.54166666666666663</x:v>
      </x:c>
      <x:c r="G133" s="64" t="s">
        <x:v>34</x:v>
      </x:c>
      <x:c r="H133" s="64" t="s">
        <x:v>78</x:v>
      </x:c>
      <x:c r="I133" s="92" t="n">
        <x:f>IF(B133="","",IFERROR(INDEX(Planos_Contratos!$G$4:$G$203,MATCH(B133,Planos_Contratos!$A$4:$A$203,0)),""))</x:f>
        <x:v>270</x:v>
      </x:c>
    </x:row>
    <x:row r="134" ht="20" customHeight="1">
      <x:c r="A134" s="68">
        <x:f t="shared" si="2"/>
        <x:v>131</x:v>
      </x:c>
      <x:c r="B134" s="64">
        <x:v>3</x:v>
      </x:c>
      <x:c r="C134" s="68" t="str">
        <x:f>IF(B134="","",IFERROR(INDEX(Planos_Contratos!$B$4:$B$203,MATCH(B134,Planos_Contratos!$A$4:$A$203,0)),""))</x:f>
        <x:v>Paciente 003</x:v>
      </x:c>
      <x:c r="D134" s="68" t="n">
        <x:f>IF(B134="","",IFERROR(INDEX(Planos_Contratos!$C$4:$C$203,MATCH(B134,Planos_Contratos!$A$4:$A$203,0)),""))</x:f>
        <x:v>3</x:v>
      </x:c>
      <x:c r="E134" s="72">
        <x:v>46223</x:v>
      </x:c>
      <x:c r="F134" s="104">
        <x:v>0.58333333333333337</x:v>
      </x:c>
      <x:c r="G134" s="64" t="s">
        <x:v>34</x:v>
      </x:c>
      <x:c r="H134" s="64" t="s">
        <x:v>78</x:v>
      </x:c>
      <x:c r="I134" s="92" t="n">
        <x:f>IF(B134="","",IFERROR(INDEX(Planos_Contratos!$G$4:$G$203,MATCH(B134,Planos_Contratos!$A$4:$A$203,0)),""))</x:f>
        <x:v>180</x:v>
      </x:c>
    </x:row>
    <x:row r="135" ht="20" customHeight="1">
      <x:c r="A135" s="68">
        <x:f t="shared" si="2"/>
        <x:v>132</x:v>
      </x:c>
      <x:c r="B135" s="64">
        <x:v>18</x:v>
      </x:c>
      <x:c r="C135" s="68" t="str">
        <x:f>IF(B135="","",IFERROR(INDEX(Planos_Contratos!$B$4:$B$203,MATCH(B135,Planos_Contratos!$A$4:$A$203,0)),""))</x:f>
        <x:v>Paciente 003</x:v>
      </x:c>
      <x:c r="D135" s="68" t="n">
        <x:f>IF(B135="","",IFERROR(INDEX(Planos_Contratos!$C$4:$C$203,MATCH(B135,Planos_Contratos!$A$4:$A$203,0)),""))</x:f>
        <x:v>3</x:v>
      </x:c>
      <x:c r="E135" s="72">
        <x:v>46223</x:v>
      </x:c>
      <x:c r="F135" s="104">
        <x:v>0.58333333333333337</x:v>
      </x:c>
      <x:c r="G135" s="64" t="s">
        <x:v>34</x:v>
      </x:c>
      <x:c r="H135" s="64" t="s">
        <x:v>78</x:v>
      </x:c>
      <x:c r="I135" s="92" t="n">
        <x:f>IF(B135="","",IFERROR(INDEX(Planos_Contratos!$G$4:$G$203,MATCH(B135,Planos_Contratos!$A$4:$A$203,0)),""))</x:f>
        <x:v>81</x:v>
      </x:c>
    </x:row>
    <x:row r="136" ht="20" customHeight="1">
      <x:c r="A136" s="68">
        <x:f t="shared" si="2"/>
        <x:v>133</x:v>
      </x:c>
      <x:c r="B136" s="64">
        <x:v>8</x:v>
      </x:c>
      <x:c r="C136" s="68" t="str">
        <x:f>IF(B136="","",IFERROR(INDEX(Planos_Contratos!$B$4:$B$203,MATCH(B136,Planos_Contratos!$A$4:$A$203,0)),""))</x:f>
        <x:v>Paciente 008</x:v>
      </x:c>
      <x:c r="D136" s="68" t="n">
        <x:f>IF(B136="","",IFERROR(INDEX(Planos_Contratos!$C$4:$C$203,MATCH(B136,Planos_Contratos!$A$4:$A$203,0)),""))</x:f>
        <x:v>8</x:v>
      </x:c>
      <x:c r="E136" s="72">
        <x:v>46224</x:v>
      </x:c>
      <x:c r="F136" s="104">
        <x:v>0.70833333333333337</x:v>
      </x:c>
      <x:c r="G136" s="64" t="s">
        <x:v>34</x:v>
      </x:c>
      <x:c r="H136" s="64" t="s">
        <x:v>78</x:v>
      </x:c>
      <x:c r="I136" s="92" t="n">
        <x:f>IF(B136="","",IFERROR(INDEX(Planos_Contratos!$G$4:$G$203,MATCH(B136,Planos_Contratos!$A$4:$A$203,0)),""))</x:f>
        <x:v>180</x:v>
      </x:c>
    </x:row>
    <x:row r="137" ht="20" customHeight="1">
      <x:c r="A137" s="68">
        <x:f t="shared" si="2"/>
        <x:v>134</x:v>
      </x:c>
      <x:c r="B137" s="64">
        <x:v>10</x:v>
      </x:c>
      <x:c r="C137" s="68" t="str">
        <x:f>IF(B137="","",IFERROR(INDEX(Planos_Contratos!$B$4:$B$203,MATCH(B137,Planos_Contratos!$A$4:$A$203,0)),""))</x:f>
        <x:v>Paciente 010</x:v>
      </x:c>
      <x:c r="D137" s="68" t="n">
        <x:f>IF(B137="","",IFERROR(INDEX(Planos_Contratos!$C$4:$C$203,MATCH(B137,Planos_Contratos!$A$4:$A$203,0)),""))</x:f>
        <x:v>10</x:v>
      </x:c>
      <x:c r="E137" s="72">
        <x:v>46224</x:v>
      </x:c>
      <x:c r="F137" s="104">
        <x:v>0.41666666666666669</x:v>
      </x:c>
      <x:c r="G137" s="64" t="s">
        <x:v>34</x:v>
      </x:c>
      <x:c r="H137" s="64" t="s">
        <x:v>78</x:v>
      </x:c>
      <x:c r="I137" s="92" t="n">
        <x:f>IF(B137="","",IFERROR(INDEX(Planos_Contratos!$G$4:$G$203,MATCH(B137,Planos_Contratos!$A$4:$A$203,0)),""))</x:f>
        <x:v>81</x:v>
      </x:c>
    </x:row>
    <x:row r="138" ht="20" customHeight="1">
      <x:c r="A138" s="68">
        <x:f t="shared" si="2"/>
        <x:v>135</x:v>
      </x:c>
      <x:c r="B138" s="64">
        <x:v>5</x:v>
      </x:c>
      <x:c r="C138" s="68" t="str">
        <x:f>IF(B138="","",IFERROR(INDEX(Planos_Contratos!$B$4:$B$203,MATCH(B138,Planos_Contratos!$A$4:$A$203,0)),""))</x:f>
        <x:v>Paciente 005</x:v>
      </x:c>
      <x:c r="D138" s="68" t="n">
        <x:f>IF(B138="","",IFERROR(INDEX(Planos_Contratos!$C$4:$C$203,MATCH(B138,Planos_Contratos!$A$4:$A$203,0)),""))</x:f>
        <x:v>5</x:v>
      </x:c>
      <x:c r="E138" s="72">
        <x:v>46225</x:v>
      </x:c>
      <x:c r="F138" s="104">
        <x:v>0.375</x:v>
      </x:c>
      <x:c r="G138" s="64" t="s">
        <x:v>34</x:v>
      </x:c>
      <x:c r="H138" s="64" t="s">
        <x:v>78</x:v>
      </x:c>
      <x:c r="I138" s="92" t="n">
        <x:f>IF(B138="","",IFERROR(INDEX(Planos_Contratos!$G$4:$G$203,MATCH(B138,Planos_Contratos!$A$4:$A$203,0)),""))</x:f>
        <x:v>81</x:v>
      </x:c>
    </x:row>
    <x:row r="139" ht="20" customHeight="1">
      <x:c r="A139" s="68">
        <x:f t="shared" si="2"/>
        <x:v>136</x:v>
      </x:c>
      <x:c r="B139" s="64">
        <x:v>17</x:v>
      </x:c>
      <x:c r="C139" s="68" t="str">
        <x:f>IF(B139="","",IFERROR(INDEX(Planos_Contratos!$B$4:$B$203,MATCH(B139,Planos_Contratos!$A$4:$A$203,0)),""))</x:f>
        <x:v>Paciente 009</x:v>
      </x:c>
      <x:c r="D139" s="68" t="n">
        <x:f>IF(B139="","",IFERROR(INDEX(Planos_Contratos!$C$4:$C$203,MATCH(B139,Planos_Contratos!$A$4:$A$203,0)),""))</x:f>
        <x:v>9</x:v>
      </x:c>
      <x:c r="E139" s="72">
        <x:v>46225</x:v>
      </x:c>
      <x:c r="F139" s="104">
        <x:v>0.41666666666666669</x:v>
      </x:c>
      <x:c r="G139" s="64" t="s">
        <x:v>37</x:v>
      </x:c>
      <x:c r="H139" s="64" t="s">
        <x:v>79</x:v>
      </x:c>
      <x:c r="I139" s="92" t="n">
        <x:f>IF(B139="","",IFERROR(INDEX(Planos_Contratos!$G$4:$G$203,MATCH(B139,Planos_Contratos!$A$4:$A$203,0)),""))</x:f>
        <x:v>180</x:v>
      </x:c>
    </x:row>
    <x:row r="140" ht="20" customHeight="1">
      <x:c r="A140" s="68">
        <x:f t="shared" si="2"/>
        <x:v>137</x:v>
      </x:c>
      <x:c r="B140" s="64">
        <x:v>4</x:v>
      </x:c>
      <x:c r="C140" s="68" t="str">
        <x:f>IF(B140="","",IFERROR(INDEX(Planos_Contratos!$B$4:$B$203,MATCH(B140,Planos_Contratos!$A$4:$A$203,0)),""))</x:f>
        <x:v>Paciente 004</x:v>
      </x:c>
      <x:c r="D140" s="68" t="n">
        <x:f>IF(B140="","",IFERROR(INDEX(Planos_Contratos!$C$4:$C$203,MATCH(B140,Planos_Contratos!$A$4:$A$203,0)),""))</x:f>
        <x:v>4</x:v>
      </x:c>
      <x:c r="E140" s="72">
        <x:v>46228</x:v>
      </x:c>
      <x:c r="F140" s="104">
        <x:v>0.41666666666666669</x:v>
      </x:c>
      <x:c r="G140" s="64" t="s">
        <x:v>34</x:v>
      </x:c>
      <x:c r="H140" s="64" t="s">
        <x:v>81</x:v>
      </x:c>
      <x:c r="I140" s="92" t="n">
        <x:f>IF(B140="","",IFERROR(INDEX(Planos_Contratos!$G$4:$G$203,MATCH(B140,Planos_Contratos!$A$4:$A$203,0)),""))</x:f>
        <x:v>270</x:v>
      </x:c>
    </x:row>
    <x:row r="141" ht="20" customHeight="1">
      <x:c r="A141" s="68">
        <x:f t="shared" si="2"/>
        <x:v>138</x:v>
      </x:c>
      <x:c r="B141" s="64">
        <x:v>5</x:v>
      </x:c>
      <x:c r="C141" s="68" t="str">
        <x:f>IF(B141="","",IFERROR(INDEX(Planos_Contratos!$B$4:$B$203,MATCH(B141,Planos_Contratos!$A$4:$A$203,0)),""))</x:f>
        <x:v>Paciente 005</x:v>
      </x:c>
      <x:c r="D141" s="68" t="n">
        <x:f>IF(B141="","",IFERROR(INDEX(Planos_Contratos!$C$4:$C$203,MATCH(B141,Planos_Contratos!$A$4:$A$203,0)),""))</x:f>
        <x:v>5</x:v>
      </x:c>
      <x:c r="E141" s="72">
        <x:v>46230</x:v>
      </x:c>
      <x:c r="F141" s="104">
        <x:v>0.375</x:v>
      </x:c>
      <x:c r="G141" s="64" t="s">
        <x:v>34</x:v>
      </x:c>
      <x:c r="H141" s="64" t="s">
        <x:v>79</x:v>
      </x:c>
      <x:c r="I141" s="92" t="n">
        <x:f>IF(B141="","",IFERROR(INDEX(Planos_Contratos!$G$4:$G$203,MATCH(B141,Planos_Contratos!$A$4:$A$203,0)),""))</x:f>
        <x:v>81</x:v>
      </x:c>
    </x:row>
    <x:row r="142" ht="20" customHeight="1">
      <x:c r="A142" s="68">
        <x:f t="shared" si="2"/>
        <x:v>139</x:v>
      </x:c>
      <x:c r="B142" s="64">
        <x:v>18</x:v>
      </x:c>
      <x:c r="C142" s="68" t="str">
        <x:f>IF(B142="","",IFERROR(INDEX(Planos_Contratos!$B$4:$B$203,MATCH(B142,Planos_Contratos!$A$4:$A$203,0)),""))</x:f>
        <x:v>Paciente 003</x:v>
      </x:c>
      <x:c r="D142" s="68" t="n">
        <x:f>IF(B142="","",IFERROR(INDEX(Planos_Contratos!$C$4:$C$203,MATCH(B142,Planos_Contratos!$A$4:$A$203,0)),""))</x:f>
        <x:v>3</x:v>
      </x:c>
      <x:c r="E142" s="72">
        <x:v>46230</x:v>
      </x:c>
      <x:c r="F142" s="104">
        <x:v>0.45833333333333331</x:v>
      </x:c>
      <x:c r="G142" s="64" t="s">
        <x:v>34</x:v>
      </x:c>
      <x:c r="H142" s="64" t="s">
        <x:v>78</x:v>
      </x:c>
      <x:c r="I142" s="92" t="n">
        <x:f>IF(B142="","",IFERROR(INDEX(Planos_Contratos!$G$4:$G$203,MATCH(B142,Planos_Contratos!$A$4:$A$203,0)),""))</x:f>
        <x:v>81</x:v>
      </x:c>
    </x:row>
    <x:row r="143" ht="20" customHeight="1">
      <x:c r="A143" s="68">
        <x:f t="shared" si="2"/>
        <x:v>140</x:v>
      </x:c>
      <x:c r="B143" s="64">
        <x:v>10</x:v>
      </x:c>
      <x:c r="C143" s="68" t="str">
        <x:f>IF(B143="","",IFERROR(INDEX(Planos_Contratos!$B$4:$B$203,MATCH(B143,Planos_Contratos!$A$4:$A$203,0)),""))</x:f>
        <x:v>Paciente 010</x:v>
      </x:c>
      <x:c r="D143" s="68" t="n">
        <x:f>IF(B143="","",IFERROR(INDEX(Planos_Contratos!$C$4:$C$203,MATCH(B143,Planos_Contratos!$A$4:$A$203,0)),""))</x:f>
        <x:v>10</x:v>
      </x:c>
      <x:c r="E143" s="72">
        <x:v>46231</x:v>
      </x:c>
      <x:c r="F143" s="104">
        <x:v>0.375</x:v>
      </x:c>
      <x:c r="G143" s="64" t="s">
        <x:v>34</x:v>
      </x:c>
      <x:c r="H143" s="64" t="s">
        <x:v>78</x:v>
      </x:c>
      <x:c r="I143" s="92" t="n">
        <x:f>IF(B143="","",IFERROR(INDEX(Planos_Contratos!$G$4:$G$203,MATCH(B143,Planos_Contratos!$A$4:$A$203,0)),""))</x:f>
        <x:v>81</x:v>
      </x:c>
    </x:row>
    <x:row r="144" ht="20" customHeight="1">
      <x:c r="A144" s="68">
        <x:f t="shared" si="2"/>
        <x:v>141</x:v>
      </x:c>
      <x:c r="B144" s="64">
        <x:v>7</x:v>
      </x:c>
      <x:c r="C144" s="68" t="str">
        <x:f>IF(B144="","",IFERROR(INDEX(Planos_Contratos!$B$4:$B$203,MATCH(B144,Planos_Contratos!$A$4:$A$203,0)),""))</x:f>
        <x:v>Paciente 007</x:v>
      </x:c>
      <x:c r="D144" s="68" t="n">
        <x:f>IF(B144="","",IFERROR(INDEX(Planos_Contratos!$C$4:$C$203,MATCH(B144,Planos_Contratos!$A$4:$A$203,0)),""))</x:f>
        <x:v>7</x:v>
      </x:c>
      <x:c r="E144" s="72">
        <x:v>46234</x:v>
      </x:c>
      <x:c r="F144" s="104">
        <x:v>0.58333333333333337</x:v>
      </x:c>
      <x:c r="G144" s="64" t="s">
        <x:v>34</x:v>
      </x:c>
      <x:c r="H144" s="64" t="s">
        <x:v>78</x:v>
      </x:c>
      <x:c r="I144" s="92" t="n">
        <x:f>IF(B144="","",IFERROR(INDEX(Planos_Contratos!$G$4:$G$203,MATCH(B144,Planos_Contratos!$A$4:$A$203,0)),""))</x:f>
        <x:v>270</x:v>
      </x:c>
    </x:row>
    <x:row r="145" ht="20" customHeight="1">
      <x:c r="A145" s="68">
        <x:f t="shared" si="2"/>
        <x:v>142</x:v>
      </x:c>
      <x:c r="B145" s="64">
        <x:v>3</x:v>
      </x:c>
      <x:c r="C145" s="68" t="str">
        <x:f>IF(B145="","",IFERROR(INDEX(Planos_Contratos!$B$4:$B$203,MATCH(B145,Planos_Contratos!$A$4:$A$203,0)),""))</x:f>
        <x:v>Paciente 003</x:v>
      </x:c>
      <x:c r="D145" s="68" t="n">
        <x:f>IF(B145="","",IFERROR(INDEX(Planos_Contratos!$C$4:$C$203,MATCH(B145,Planos_Contratos!$A$4:$A$203,0)),""))</x:f>
        <x:v>3</x:v>
      </x:c>
      <x:c r="E145" s="72">
        <x:v>46237</x:v>
      </x:c>
      <x:c r="F145" s="104">
        <x:v>0.75</x:v>
      </x:c>
      <x:c r="G145" s="64" t="s">
        <x:v>34</x:v>
      </x:c>
      <x:c r="H145" s="64" t="s">
        <x:v>78</x:v>
      </x:c>
      <x:c r="I145" s="92" t="n">
        <x:f>IF(B145="","",IFERROR(INDEX(Planos_Contratos!$G$4:$G$203,MATCH(B145,Planos_Contratos!$A$4:$A$203,0)),""))</x:f>
        <x:v>180</x:v>
      </x:c>
    </x:row>
    <x:row r="146" ht="20" customHeight="1">
      <x:c r="A146" s="68">
        <x:f t="shared" si="2"/>
        <x:v>143</x:v>
      </x:c>
      <x:c r="B146" s="64">
        <x:v>18</x:v>
      </x:c>
      <x:c r="C146" s="68" t="str">
        <x:f>IF(B146="","",IFERROR(INDEX(Planos_Contratos!$B$4:$B$203,MATCH(B146,Planos_Contratos!$A$4:$A$203,0)),""))</x:f>
        <x:v>Paciente 003</x:v>
      </x:c>
      <x:c r="D146" s="68" t="n">
        <x:f>IF(B146="","",IFERROR(INDEX(Planos_Contratos!$C$4:$C$203,MATCH(B146,Planos_Contratos!$A$4:$A$203,0)),""))</x:f>
        <x:v>3</x:v>
      </x:c>
      <x:c r="E146" s="72">
        <x:v>46237</x:v>
      </x:c>
      <x:c r="F146" s="104">
        <x:v>0.33333333333333331</x:v>
      </x:c>
      <x:c r="G146" s="64" t="s">
        <x:v>34</x:v>
      </x:c>
      <x:c r="H146" s="64" t="s">
        <x:v>78</x:v>
      </x:c>
      <x:c r="I146" s="92" t="n">
        <x:f>IF(B146="","",IFERROR(INDEX(Planos_Contratos!$G$4:$G$203,MATCH(B146,Planos_Contratos!$A$4:$A$203,0)),""))</x:f>
        <x:v>81</x:v>
      </x:c>
    </x:row>
    <x:row r="147" ht="20" customHeight="1">
      <x:c r="A147" s="68">
        <x:f t="shared" si="2"/>
        <x:v>144</x:v>
      </x:c>
      <x:c r="B147" s="64">
        <x:v>8</x:v>
      </x:c>
      <x:c r="C147" s="68" t="str">
        <x:f>IF(B147="","",IFERROR(INDEX(Planos_Contratos!$B$4:$B$203,MATCH(B147,Planos_Contratos!$A$4:$A$203,0)),""))</x:f>
        <x:v>Paciente 008</x:v>
      </x:c>
      <x:c r="D147" s="68" t="n">
        <x:f>IF(B147="","",IFERROR(INDEX(Planos_Contratos!$C$4:$C$203,MATCH(B147,Planos_Contratos!$A$4:$A$203,0)),""))</x:f>
        <x:v>8</x:v>
      </x:c>
      <x:c r="E147" s="72">
        <x:v>46238</x:v>
      </x:c>
      <x:c r="F147" s="104">
        <x:v>0.33333333333333331</x:v>
      </x:c>
      <x:c r="G147" s="64" t="s">
        <x:v>34</x:v>
      </x:c>
      <x:c r="H147" s="64" t="s">
        <x:v>78</x:v>
      </x:c>
      <x:c r="I147" s="92" t="n">
        <x:f>IF(B147="","",IFERROR(INDEX(Planos_Contratos!$G$4:$G$203,MATCH(B147,Planos_Contratos!$A$4:$A$203,0)),""))</x:f>
        <x:v>180</x:v>
      </x:c>
    </x:row>
    <x:row r="148" ht="20" customHeight="1">
      <x:c r="A148" s="68">
        <x:f t="shared" si="2"/>
        <x:v>145</x:v>
      </x:c>
      <x:c r="B148" s="64">
        <x:v>10</x:v>
      </x:c>
      <x:c r="C148" s="68" t="str">
        <x:f>IF(B148="","",IFERROR(INDEX(Planos_Contratos!$B$4:$B$203,MATCH(B148,Planos_Contratos!$A$4:$A$203,0)),""))</x:f>
        <x:v>Paciente 010</x:v>
      </x:c>
      <x:c r="D148" s="68" t="n">
        <x:f>IF(B148="","",IFERROR(INDEX(Planos_Contratos!$C$4:$C$203,MATCH(B148,Planos_Contratos!$A$4:$A$203,0)),""))</x:f>
        <x:v>10</x:v>
      </x:c>
      <x:c r="E148" s="72">
        <x:v>46238</x:v>
      </x:c>
      <x:c r="F148" s="104">
        <x:v>0.58333333333333337</x:v>
      </x:c>
      <x:c r="G148" s="64" t="s">
        <x:v>34</x:v>
      </x:c>
      <x:c r="H148" s="64" t="s">
        <x:v>78</x:v>
      </x:c>
      <x:c r="I148" s="92" t="n">
        <x:f>IF(B148="","",IFERROR(INDEX(Planos_Contratos!$G$4:$G$203,MATCH(B148,Planos_Contratos!$A$4:$A$203,0)),""))</x:f>
        <x:v>81</x:v>
      </x:c>
    </x:row>
    <x:row r="149" ht="20" customHeight="1">
      <x:c r="A149" s="68">
        <x:f t="shared" si="2"/>
        <x:v>146</x:v>
      </x:c>
      <x:c r="B149" s="64">
        <x:v>7</x:v>
      </x:c>
      <x:c r="C149" s="68" t="str">
        <x:f>IF(B149="","",IFERROR(INDEX(Planos_Contratos!$B$4:$B$203,MATCH(B149,Planos_Contratos!$A$4:$A$203,0)),""))</x:f>
        <x:v>Paciente 007</x:v>
      </x:c>
      <x:c r="D149" s="68" t="n">
        <x:f>IF(B149="","",IFERROR(INDEX(Planos_Contratos!$C$4:$C$203,MATCH(B149,Planos_Contratos!$A$4:$A$203,0)),""))</x:f>
        <x:v>7</x:v>
      </x:c>
      <x:c r="E149" s="72">
        <x:v>46239</x:v>
      </x:c>
      <x:c r="F149" s="104">
        <x:v>0.58333333333333337</x:v>
      </x:c>
      <x:c r="G149" s="64" t="s">
        <x:v>34</x:v>
      </x:c>
      <x:c r="H149" s="64" t="s">
        <x:v>80</x:v>
      </x:c>
      <x:c r="I149" s="92" t="n">
        <x:f>IF(B149="","",IFERROR(INDEX(Planos_Contratos!$G$4:$G$203,MATCH(B149,Planos_Contratos!$A$4:$A$203,0)),""))</x:f>
        <x:v>270</x:v>
      </x:c>
    </x:row>
    <x:row r="150" ht="20" customHeight="1">
      <x:c r="A150" s="68">
        <x:f t="shared" si="2"/>
        <x:v>147</x:v>
      </x:c>
      <x:c r="B150" s="64">
        <x:v>18</x:v>
      </x:c>
      <x:c r="C150" s="68" t="str">
        <x:f>IF(B150="","",IFERROR(INDEX(Planos_Contratos!$B$4:$B$203,MATCH(B150,Planos_Contratos!$A$4:$A$203,0)),""))</x:f>
        <x:v>Paciente 003</x:v>
      </x:c>
      <x:c r="D150" s="68" t="n">
        <x:f>IF(B150="","",IFERROR(INDEX(Planos_Contratos!$C$4:$C$203,MATCH(B150,Planos_Contratos!$A$4:$A$203,0)),""))</x:f>
        <x:v>3</x:v>
      </x:c>
      <x:c r="E150" s="72">
        <x:v>46244</x:v>
      </x:c>
      <x:c r="F150" s="104">
        <x:v>0.625</x:v>
      </x:c>
      <x:c r="G150" s="64" t="s">
        <x:v>34</x:v>
      </x:c>
      <x:c r="H150" s="64" t="s">
        <x:v>78</x:v>
      </x:c>
      <x:c r="I150" s="92" t="n">
        <x:f>IF(B150="","",IFERROR(INDEX(Planos_Contratos!$G$4:$G$203,MATCH(B150,Planos_Contratos!$A$4:$A$203,0)),""))</x:f>
        <x:v>81</x:v>
      </x:c>
    </x:row>
    <x:row r="151" ht="20" customHeight="1">
      <x:c r="A151" s="68">
        <x:f t="shared" si="2"/>
        <x:v>148</x:v>
      </x:c>
      <x:c r="B151" s="64">
        <x:v>10</x:v>
      </x:c>
      <x:c r="C151" s="68" t="str">
        <x:f>IF(B151="","",IFERROR(INDEX(Planos_Contratos!$B$4:$B$203,MATCH(B151,Planos_Contratos!$A$4:$A$203,0)),""))</x:f>
        <x:v>Paciente 010</x:v>
      </x:c>
      <x:c r="D151" s="68" t="n">
        <x:f>IF(B151="","",IFERROR(INDEX(Planos_Contratos!$C$4:$C$203,MATCH(B151,Planos_Contratos!$A$4:$A$203,0)),""))</x:f>
        <x:v>10</x:v>
      </x:c>
      <x:c r="E151" s="72">
        <x:v>46245</x:v>
      </x:c>
      <x:c r="F151" s="104">
        <x:v>0.4375</x:v>
      </x:c>
      <x:c r="G151" s="64" t="s">
        <x:v>34</x:v>
      </x:c>
      <x:c r="H151" s="64" t="s">
        <x:v>78</x:v>
      </x:c>
      <x:c r="I151" s="92" t="n">
        <x:f>IF(B151="","",IFERROR(INDEX(Planos_Contratos!$G$4:$G$203,MATCH(B151,Planos_Contratos!$A$4:$A$203,0)),""))</x:f>
        <x:v>81</x:v>
      </x:c>
    </x:row>
    <x:row r="152" ht="20" customHeight="1">
      <x:c r="A152" s="68">
        <x:f t="shared" si="2"/>
        <x:v>149</x:v>
      </x:c>
      <x:c r="B152" s="64">
        <x:v>6</x:v>
      </x:c>
      <x:c r="C152" s="68" t="str">
        <x:f>IF(B152="","",IFERROR(INDEX(Planos_Contratos!$B$4:$B$203,MATCH(B152,Planos_Contratos!$A$4:$A$203,0)),""))</x:f>
        <x:v>Paciente 006</x:v>
      </x:c>
      <x:c r="D152" s="68" t="n">
        <x:f>IF(B152="","",IFERROR(INDEX(Planos_Contratos!$C$4:$C$203,MATCH(B152,Planos_Contratos!$A$4:$A$203,0)),""))</x:f>
        <x:v>6</x:v>
      </x:c>
      <x:c r="E152" s="72">
        <x:v>46249</x:v>
      </x:c>
      <x:c r="F152" s="104">
        <x:v>0.75</x:v>
      </x:c>
      <x:c r="G152" s="64" t="s">
        <x:v>37</x:v>
      </x:c>
      <x:c r="H152" s="64" t="s">
        <x:v>78</x:v>
      </x:c>
      <x:c r="I152" s="92" t="n">
        <x:f>IF(B152="","",IFERROR(INDEX(Planos_Contratos!$G$4:$G$203,MATCH(B152,Planos_Contratos!$A$4:$A$203,0)),""))</x:f>
        <x:v>180</x:v>
      </x:c>
    </x:row>
    <x:row r="153" ht="20" customHeight="1">
      <x:c r="A153" s="68">
        <x:f t="shared" si="2"/>
        <x:v>150</x:v>
      </x:c>
      <x:c r="B153" s="64">
        <x:v>3</x:v>
      </x:c>
      <x:c r="C153" s="68" t="str">
        <x:f>IF(B153="","",IFERROR(INDEX(Planos_Contratos!$B$4:$B$203,MATCH(B153,Planos_Contratos!$A$4:$A$203,0)),""))</x:f>
        <x:v>Paciente 003</x:v>
      </x:c>
      <x:c r="D153" s="68" t="n">
        <x:f>IF(B153="","",IFERROR(INDEX(Planos_Contratos!$C$4:$C$203,MATCH(B153,Planos_Contratos!$A$4:$A$203,0)),""))</x:f>
        <x:v>3</x:v>
      </x:c>
      <x:c r="E153" s="72">
        <x:v>46251</x:v>
      </x:c>
      <x:c r="F153" s="104">
        <x:v>0.35416666666666669</x:v>
      </x:c>
      <x:c r="G153" s="64" t="s">
        <x:v>34</x:v>
      </x:c>
      <x:c r="H153" s="64" t="s">
        <x:v>78</x:v>
      </x:c>
      <x:c r="I153" s="92" t="n">
        <x:f>IF(B153="","",IFERROR(INDEX(Planos_Contratos!$G$4:$G$203,MATCH(B153,Planos_Contratos!$A$4:$A$203,0)),""))</x:f>
        <x:v>180</x:v>
      </x:c>
    </x:row>
    <x:row r="154" ht="20" customHeight="1">
      <x:c r="A154" s="68">
        <x:f t="shared" si="2"/>
        <x:v>151</x:v>
      </x:c>
      <x:c r="B154" s="64">
        <x:v>18</x:v>
      </x:c>
      <x:c r="C154" s="68" t="str">
        <x:f>IF(B154="","",IFERROR(INDEX(Planos_Contratos!$B$4:$B$203,MATCH(B154,Planos_Contratos!$A$4:$A$203,0)),""))</x:f>
        <x:v>Paciente 003</x:v>
      </x:c>
      <x:c r="D154" s="68" t="n">
        <x:f>IF(B154="","",IFERROR(INDEX(Planos_Contratos!$C$4:$C$203,MATCH(B154,Planos_Contratos!$A$4:$A$203,0)),""))</x:f>
        <x:v>3</x:v>
      </x:c>
      <x:c r="E154" s="72">
        <x:v>46251</x:v>
      </x:c>
      <x:c r="F154" s="104">
        <x:v>0.54166666666666663</x:v>
      </x:c>
      <x:c r="G154" s="64" t="s">
        <x:v>34</x:v>
      </x:c>
      <x:c r="H154" s="64" t="s">
        <x:v>78</x:v>
      </x:c>
      <x:c r="I154" s="92" t="n">
        <x:f>IF(B154="","",IFERROR(INDEX(Planos_Contratos!$G$4:$G$203,MATCH(B154,Planos_Contratos!$A$4:$A$203,0)),""))</x:f>
        <x:v>81</x:v>
      </x:c>
    </x:row>
    <x:row r="155" ht="20" customHeight="1">
      <x:c r="A155" s="68">
        <x:f t="shared" si="2"/>
        <x:v>152</x:v>
      </x:c>
      <x:c r="B155" s="64">
        <x:v>8</x:v>
      </x:c>
      <x:c r="C155" s="68" t="str">
        <x:f>IF(B155="","",IFERROR(INDEX(Planos_Contratos!$B$4:$B$203,MATCH(B155,Planos_Contratos!$A$4:$A$203,0)),""))</x:f>
        <x:v>Paciente 008</x:v>
      </x:c>
      <x:c r="D155" s="68" t="n">
        <x:f>IF(B155="","",IFERROR(INDEX(Planos_Contratos!$C$4:$C$203,MATCH(B155,Planos_Contratos!$A$4:$A$203,0)),""))</x:f>
        <x:v>8</x:v>
      </x:c>
      <x:c r="E155" s="72">
        <x:v>46252</x:v>
      </x:c>
      <x:c r="F155" s="104">
        <x:v>0.375</x:v>
      </x:c>
      <x:c r="G155" s="64" t="s">
        <x:v>34</x:v>
      </x:c>
      <x:c r="H155" s="64" t="s">
        <x:v>78</x:v>
      </x:c>
      <x:c r="I155" s="92" t="n">
        <x:f>IF(B155="","",IFERROR(INDEX(Planos_Contratos!$G$4:$G$203,MATCH(B155,Planos_Contratos!$A$4:$A$203,0)),""))</x:f>
        <x:v>180</x:v>
      </x:c>
    </x:row>
    <x:row r="156" ht="20" customHeight="1">
      <x:c r="A156" s="68">
        <x:f t="shared" si="2"/>
        <x:v>153</x:v>
      </x:c>
      <x:c r="B156" s="64">
        <x:v>8</x:v>
      </x:c>
      <x:c r="C156" s="68" t="str">
        <x:f>IF(B156="","",IFERROR(INDEX(Planos_Contratos!$B$4:$B$203,MATCH(B156,Planos_Contratos!$A$4:$A$203,0)),""))</x:f>
        <x:v>Paciente 008</x:v>
      </x:c>
      <x:c r="D156" s="68" t="n">
        <x:f>IF(B156="","",IFERROR(INDEX(Planos_Contratos!$C$4:$C$203,MATCH(B156,Planos_Contratos!$A$4:$A$203,0)),""))</x:f>
        <x:v>8</x:v>
      </x:c>
      <x:c r="E156" s="72">
        <x:v>46252</x:v>
      </x:c>
      <x:c r="F156" s="104">
        <x:v>0.64583333333333337</x:v>
      </x:c>
      <x:c r="G156" s="64" t="s">
        <x:v>34</x:v>
      </x:c>
      <x:c r="H156" s="64" t="s">
        <x:v>78</x:v>
      </x:c>
      <x:c r="I156" s="92" t="n">
        <x:f>IF(B156="","",IFERROR(INDEX(Planos_Contratos!$G$4:$G$203,MATCH(B156,Planos_Contratos!$A$4:$A$203,0)),""))</x:f>
        <x:v>180</x:v>
      </x:c>
    </x:row>
    <x:row r="157" ht="20" customHeight="1">
      <x:c r="A157" s="68">
        <x:f t="shared" si="2"/>
        <x:v>154</x:v>
      </x:c>
      <x:c r="B157" s="64">
        <x:v>8</x:v>
      </x:c>
      <x:c r="C157" s="68" t="str">
        <x:f>IF(B157="","",IFERROR(INDEX(Planos_Contratos!$B$4:$B$203,MATCH(B157,Planos_Contratos!$A$4:$A$203,0)),""))</x:f>
        <x:v>Paciente 008</x:v>
      </x:c>
      <x:c r="D157" s="68" t="n">
        <x:f>IF(B157="","",IFERROR(INDEX(Planos_Contratos!$C$4:$C$203,MATCH(B157,Planos_Contratos!$A$4:$A$203,0)),""))</x:f>
        <x:v>8</x:v>
      </x:c>
      <x:c r="E157" s="72">
        <x:v>46252</x:v>
      </x:c>
      <x:c r="F157" s="104">
        <x:v>0.54166666666666663</x:v>
      </x:c>
      <x:c r="G157" s="64" t="s">
        <x:v>34</x:v>
      </x:c>
      <x:c r="H157" s="64" t="s">
        <x:v>78</x:v>
      </x:c>
      <x:c r="I157" s="92" t="n">
        <x:f>IF(B157="","",IFERROR(INDEX(Planos_Contratos!$G$4:$G$203,MATCH(B157,Planos_Contratos!$A$4:$A$203,0)),""))</x:f>
        <x:v>180</x:v>
      </x:c>
    </x:row>
    <x:row r="158" ht="20" customHeight="1">
      <x:c r="A158" s="68">
        <x:f t="shared" si="2"/>
        <x:v>155</x:v>
      </x:c>
      <x:c r="B158" s="64">
        <x:v>10</x:v>
      </x:c>
      <x:c r="C158" s="68" t="str">
        <x:f>IF(B158="","",IFERROR(INDEX(Planos_Contratos!$B$4:$B$203,MATCH(B158,Planos_Contratos!$A$4:$A$203,0)),""))</x:f>
        <x:v>Paciente 010</x:v>
      </x:c>
      <x:c r="D158" s="68" t="n">
        <x:f>IF(B158="","",IFERROR(INDEX(Planos_Contratos!$C$4:$C$203,MATCH(B158,Planos_Contratos!$A$4:$A$203,0)),""))</x:f>
        <x:v>10</x:v>
      </x:c>
      <x:c r="E158" s="72">
        <x:v>46252</x:v>
      </x:c>
      <x:c r="F158" s="104">
        <x:v>0.70833333333333337</x:v>
      </x:c>
      <x:c r="G158" s="64" t="s">
        <x:v>34</x:v>
      </x:c>
      <x:c r="H158" s="64" t="s">
        <x:v>78</x:v>
      </x:c>
      <x:c r="I158" s="92" t="n">
        <x:f>IF(B158="","",IFERROR(INDEX(Planos_Contratos!$G$4:$G$203,MATCH(B158,Planos_Contratos!$A$4:$A$203,0)),""))</x:f>
        <x:v>81</x:v>
      </x:c>
    </x:row>
    <x:row r="159" ht="20" customHeight="1">
      <x:c r="A159" s="68">
        <x:f t="shared" si="2"/>
        <x:v>156</x:v>
      </x:c>
      <x:c r="B159" s="64">
        <x:v>10</x:v>
      </x:c>
      <x:c r="C159" s="68" t="str">
        <x:f>IF(B159="","",IFERROR(INDEX(Planos_Contratos!$B$4:$B$203,MATCH(B159,Planos_Contratos!$A$4:$A$203,0)),""))</x:f>
        <x:v>Paciente 010</x:v>
      </x:c>
      <x:c r="D159" s="68" t="n">
        <x:f>IF(B159="","",IFERROR(INDEX(Planos_Contratos!$C$4:$C$203,MATCH(B159,Planos_Contratos!$A$4:$A$203,0)),""))</x:f>
        <x:v>10</x:v>
      </x:c>
      <x:c r="E159" s="72">
        <x:v>46252</x:v>
      </x:c>
      <x:c r="F159" s="104">
        <x:v>0.375</x:v>
      </x:c>
      <x:c r="G159" s="64" t="s">
        <x:v>34</x:v>
      </x:c>
      <x:c r="H159" s="64" t="s">
        <x:v>78</x:v>
      </x:c>
      <x:c r="I159" s="92" t="n">
        <x:f>IF(B159="","",IFERROR(INDEX(Planos_Contratos!$G$4:$G$203,MATCH(B159,Planos_Contratos!$A$4:$A$203,0)),""))</x:f>
        <x:v>81</x:v>
      </x:c>
    </x:row>
    <x:row r="160" ht="20" customHeight="1">
      <x:c r="A160" s="68">
        <x:f t="shared" si="2"/>
        <x:v>157</x:v>
      </x:c>
      <x:c r="B160" s="64">
        <x:v>3</x:v>
      </x:c>
      <x:c r="C160" s="68" t="str">
        <x:f>IF(B160="","",IFERROR(INDEX(Planos_Contratos!$B$4:$B$203,MATCH(B160,Planos_Contratos!$A$4:$A$203,0)),""))</x:f>
        <x:v>Paciente 003</x:v>
      </x:c>
      <x:c r="D160" s="68" t="n">
        <x:f>IF(B160="","",IFERROR(INDEX(Planos_Contratos!$C$4:$C$203,MATCH(B160,Planos_Contratos!$A$4:$A$203,0)),""))</x:f>
        <x:v>3</x:v>
      </x:c>
      <x:c r="E160" s="72">
        <x:v>46253</x:v>
      </x:c>
      <x:c r="F160" s="104">
        <x:v>0.75</x:v>
      </x:c>
      <x:c r="G160" s="64" t="s">
        <x:v>34</x:v>
      </x:c>
      <x:c r="H160" s="64" t="s">
        <x:v>78</x:v>
      </x:c>
      <x:c r="I160" s="92" t="n">
        <x:f>IF(B160="","",IFERROR(INDEX(Planos_Contratos!$G$4:$G$203,MATCH(B160,Planos_Contratos!$A$4:$A$203,0)),""))</x:f>
        <x:v>180</x:v>
      </x:c>
    </x:row>
    <x:row r="161" ht="20" customHeight="1">
      <x:c r="A161" s="68">
        <x:f t="shared" si="2"/>
        <x:v>158</x:v>
      </x:c>
      <x:c r="B161" s="64">
        <x:v>8</x:v>
      </x:c>
      <x:c r="C161" s="68" t="str">
        <x:f>IF(B161="","",IFERROR(INDEX(Planos_Contratos!$B$4:$B$203,MATCH(B161,Planos_Contratos!$A$4:$A$203,0)),""))</x:f>
        <x:v>Paciente 008</x:v>
      </x:c>
      <x:c r="D161" s="68" t="n">
        <x:f>IF(B161="","",IFERROR(INDEX(Planos_Contratos!$C$4:$C$203,MATCH(B161,Planos_Contratos!$A$4:$A$203,0)),""))</x:f>
        <x:v>8</x:v>
      </x:c>
      <x:c r="E161" s="72">
        <x:v>46253</x:v>
      </x:c>
      <x:c r="F161" s="104">
        <x:v>0.625</x:v>
      </x:c>
      <x:c r="G161" s="64" t="s">
        <x:v>34</x:v>
      </x:c>
      <x:c r="H161" s="64" t="s">
        <x:v>78</x:v>
      </x:c>
      <x:c r="I161" s="92" t="n">
        <x:f>IF(B161="","",IFERROR(INDEX(Planos_Contratos!$G$4:$G$203,MATCH(B161,Planos_Contratos!$A$4:$A$203,0)),""))</x:f>
        <x:v>180</x:v>
      </x:c>
    </x:row>
    <x:row r="162" ht="20" customHeight="1">
      <x:c r="A162" s="68">
        <x:f t="shared" si="2"/>
        <x:v>159</x:v>
      </x:c>
      <x:c r="B162" s="64">
        <x:v>8</x:v>
      </x:c>
      <x:c r="C162" s="68" t="str">
        <x:f>IF(B162="","",IFERROR(INDEX(Planos_Contratos!$B$4:$B$203,MATCH(B162,Planos_Contratos!$A$4:$A$203,0)),""))</x:f>
        <x:v>Paciente 008</x:v>
      </x:c>
      <x:c r="D162" s="68" t="n">
        <x:f>IF(B162="","",IFERROR(INDEX(Planos_Contratos!$C$4:$C$203,MATCH(B162,Planos_Contratos!$A$4:$A$203,0)),""))</x:f>
        <x:v>8</x:v>
      </x:c>
      <x:c r="E162" s="72">
        <x:v>46255</x:v>
      </x:c>
      <x:c r="F162" s="104">
        <x:v>0.6875</x:v>
      </x:c>
      <x:c r="G162" s="64" t="s">
        <x:v>34</x:v>
      </x:c>
      <x:c r="H162" s="64" t="s">
        <x:v>78</x:v>
      </x:c>
      <x:c r="I162" s="92" t="n">
        <x:f>IF(B162="","",IFERROR(INDEX(Planos_Contratos!$G$4:$G$203,MATCH(B162,Planos_Contratos!$A$4:$A$203,0)),""))</x:f>
        <x:v>180</x:v>
      </x:c>
    </x:row>
    <x:row r="163" ht="20" customHeight="1">
      <x:c r="A163" s="68">
        <x:f t="shared" si="2"/>
        <x:v>160</x:v>
      </x:c>
      <x:c r="B163" s="64">
        <x:v>8</x:v>
      </x:c>
      <x:c r="C163" s="68" t="str">
        <x:f>IF(B163="","",IFERROR(INDEX(Planos_Contratos!$B$4:$B$203,MATCH(B163,Planos_Contratos!$A$4:$A$203,0)),""))</x:f>
        <x:v>Paciente 008</x:v>
      </x:c>
      <x:c r="D163" s="68" t="n">
        <x:f>IF(B163="","",IFERROR(INDEX(Planos_Contratos!$C$4:$C$203,MATCH(B163,Planos_Contratos!$A$4:$A$203,0)),""))</x:f>
        <x:v>8</x:v>
      </x:c>
      <x:c r="E163" s="72">
        <x:v>46255</x:v>
      </x:c>
      <x:c r="F163" s="104">
        <x:v>0.58333333333333337</x:v>
      </x:c>
      <x:c r="G163" s="64" t="s">
        <x:v>34</x:v>
      </x:c>
      <x:c r="H163" s="64" t="s">
        <x:v>78</x:v>
      </x:c>
      <x:c r="I163" s="92" t="n">
        <x:f>IF(B163="","",IFERROR(INDEX(Planos_Contratos!$G$4:$G$203,MATCH(B163,Planos_Contratos!$A$4:$A$203,0)),""))</x:f>
        <x:v>180</x:v>
      </x:c>
    </x:row>
    <x:row r="164" ht="20" customHeight="1">
      <x:c r="A164" s="68">
        <x:f t="shared" si="2"/>
        <x:v>161</x:v>
      </x:c>
      <x:c r="B164" s="64">
        <x:v>8</x:v>
      </x:c>
      <x:c r="C164" s="68" t="str">
        <x:f>IF(B164="","",IFERROR(INDEX(Planos_Contratos!$B$4:$B$203,MATCH(B164,Planos_Contratos!$A$4:$A$203,0)),""))</x:f>
        <x:v>Paciente 008</x:v>
      </x:c>
      <x:c r="D164" s="68" t="n">
        <x:f>IF(B164="","",IFERROR(INDEX(Planos_Contratos!$C$4:$C$203,MATCH(B164,Planos_Contratos!$A$4:$A$203,0)),""))</x:f>
        <x:v>8</x:v>
      </x:c>
      <x:c r="E164" s="72">
        <x:v>46255</x:v>
      </x:c>
      <x:c r="F164" s="104">
        <x:v>0.33333333333333331</x:v>
      </x:c>
      <x:c r="G164" s="64" t="s">
        <x:v>34</x:v>
      </x:c>
      <x:c r="H164" s="64" t="s">
        <x:v>78</x:v>
      </x:c>
      <x:c r="I164" s="92" t="n">
        <x:f>IF(B164="","",IFERROR(INDEX(Planos_Contratos!$G$4:$G$203,MATCH(B164,Planos_Contratos!$A$4:$A$203,0)),""))</x:f>
        <x:v>180</x:v>
      </x:c>
    </x:row>
    <x:row r="165" ht="20" customHeight="1">
      <x:c r="A165" s="68">
        <x:f t="shared" si="2"/>
        <x:v>162</x:v>
      </x:c>
      <x:c r="B165" s="64">
        <x:v>10</x:v>
      </x:c>
      <x:c r="C165" s="68" t="str">
        <x:f>IF(B165="","",IFERROR(INDEX(Planos_Contratos!$B$4:$B$203,MATCH(B165,Planos_Contratos!$A$4:$A$203,0)),""))</x:f>
        <x:v>Paciente 010</x:v>
      </x:c>
      <x:c r="D165" s="68" t="n">
        <x:f>IF(B165="","",IFERROR(INDEX(Planos_Contratos!$C$4:$C$203,MATCH(B165,Planos_Contratos!$A$4:$A$203,0)),""))</x:f>
        <x:v>10</x:v>
      </x:c>
      <x:c r="E165" s="72">
        <x:v>46255</x:v>
      </x:c>
      <x:c r="F165" s="104">
        <x:v>0.375</x:v>
      </x:c>
      <x:c r="G165" s="64" t="s">
        <x:v>34</x:v>
      </x:c>
      <x:c r="H165" s="64" t="s">
        <x:v>79</x:v>
      </x:c>
      <x:c r="I165" s="92" t="n">
        <x:f>IF(B165="","",IFERROR(INDEX(Planos_Contratos!$G$4:$G$203,MATCH(B165,Planos_Contratos!$A$4:$A$203,0)),""))</x:f>
        <x:v>81</x:v>
      </x:c>
    </x:row>
    <x:row r="166" ht="20" customHeight="1">
      <x:c r="A166" s="68">
        <x:f t="shared" si="2"/>
        <x:v>163</x:v>
      </x:c>
      <x:c r="B166" s="64">
        <x:v>18</x:v>
      </x:c>
      <x:c r="C166" s="68" t="str">
        <x:f>IF(B166="","",IFERROR(INDEX(Planos_Contratos!$B$4:$B$203,MATCH(B166,Planos_Contratos!$A$4:$A$203,0)),""))</x:f>
        <x:v>Paciente 003</x:v>
      </x:c>
      <x:c r="D166" s="68" t="n">
        <x:f>IF(B166="","",IFERROR(INDEX(Planos_Contratos!$C$4:$C$203,MATCH(B166,Planos_Contratos!$A$4:$A$203,0)),""))</x:f>
        <x:v>3</x:v>
      </x:c>
      <x:c r="E166" s="72">
        <x:v>46256</x:v>
      </x:c>
      <x:c r="F166" s="104">
        <x:v>0.70833333333333337</x:v>
      </x:c>
      <x:c r="G166" s="64" t="s">
        <x:v>34</x:v>
      </x:c>
      <x:c r="H166" s="64" t="s">
        <x:v>78</x:v>
      </x:c>
      <x:c r="I166" s="92" t="n">
        <x:f>IF(B166="","",IFERROR(INDEX(Planos_Contratos!$G$4:$G$203,MATCH(B166,Planos_Contratos!$A$4:$A$203,0)),""))</x:f>
        <x:v>81</x:v>
      </x:c>
    </x:row>
    <x:row r="167" ht="20" customHeight="1">
      <x:c r="A167" s="68">
        <x:f t="shared" si="2"/>
        <x:v>164</x:v>
      </x:c>
      <x:c r="B167" s="64">
        <x:v>19</x:v>
      </x:c>
      <x:c r="C167" s="68" t="str">
        <x:f>IF(B167="","",IFERROR(INDEX(Planos_Contratos!$B$4:$B$203,MATCH(B167,Planos_Contratos!$A$4:$A$203,0)),""))</x:f>
        <x:v>Paciente 006</x:v>
      </x:c>
      <x:c r="D167" s="68" t="n">
        <x:f>IF(B167="","",IFERROR(INDEX(Planos_Contratos!$C$4:$C$203,MATCH(B167,Planos_Contratos!$A$4:$A$203,0)),""))</x:f>
        <x:v>6</x:v>
      </x:c>
      <x:c r="E167" s="72">
        <x:v>46256</x:v>
      </x:c>
      <x:c r="F167" s="104">
        <x:v>0.41666666666666669</x:v>
      </x:c>
      <x:c r="G167" s="64" t="s">
        <x:v>37</x:v>
      </x:c>
      <x:c r="H167" s="64" t="s">
        <x:v>78</x:v>
      </x:c>
      <x:c r="I167" s="92" t="n">
        <x:f>IF(B167="","",IFERROR(INDEX(Planos_Contratos!$G$4:$G$203,MATCH(B167,Planos_Contratos!$A$4:$A$203,0)),""))</x:f>
        <x:v>180</x:v>
      </x:c>
    </x:row>
    <x:row r="168" ht="20" customHeight="1">
      <x:c r="A168" s="68">
        <x:f t="shared" si="2"/>
        <x:v>165</x:v>
      </x:c>
      <x:c r="B168" s="64">
        <x:v>8</x:v>
      </x:c>
      <x:c r="C168" s="68" t="str">
        <x:f>IF(B168="","",IFERROR(INDEX(Planos_Contratos!$B$4:$B$203,MATCH(B168,Planos_Contratos!$A$4:$A$203,0)),""))</x:f>
        <x:v>Paciente 008</x:v>
      </x:c>
      <x:c r="D168" s="68" t="n">
        <x:f>IF(B168="","",IFERROR(INDEX(Planos_Contratos!$C$4:$C$203,MATCH(B168,Planos_Contratos!$A$4:$A$203,0)),""))</x:f>
        <x:v>8</x:v>
      </x:c>
      <x:c r="E168" s="72">
        <x:v>46258</x:v>
      </x:c>
      <x:c r="F168" s="104">
        <x:v>0.66666666666666663</x:v>
      </x:c>
      <x:c r="G168" s="64" t="s">
        <x:v>34</x:v>
      </x:c>
      <x:c r="H168" s="64" t="s">
        <x:v>81</x:v>
      </x:c>
      <x:c r="I168" s="92" t="n">
        <x:f>IF(B168="","",IFERROR(INDEX(Planos_Contratos!$G$4:$G$203,MATCH(B168,Planos_Contratos!$A$4:$A$203,0)),""))</x:f>
        <x:v>180</x:v>
      </x:c>
    </x:row>
    <x:row r="169" ht="20" customHeight="1">
      <x:c r="A169" s="68">
        <x:f t="shared" si="2"/>
        <x:v>166</x:v>
      </x:c>
      <x:c r="B169" s="64">
        <x:v>18</x:v>
      </x:c>
      <x:c r="C169" s="68" t="str">
        <x:f>IF(B169="","",IFERROR(INDEX(Planos_Contratos!$B$4:$B$203,MATCH(B169,Planos_Contratos!$A$4:$A$203,0)),""))</x:f>
        <x:v>Paciente 003</x:v>
      </x:c>
      <x:c r="D169" s="68" t="n">
        <x:f>IF(B169="","",IFERROR(INDEX(Planos_Contratos!$C$4:$C$203,MATCH(B169,Planos_Contratos!$A$4:$A$203,0)),""))</x:f>
        <x:v>3</x:v>
      </x:c>
      <x:c r="E169" s="72">
        <x:v>46258</x:v>
      </x:c>
      <x:c r="F169" s="104">
        <x:v>0.54166666666666663</x:v>
      </x:c>
      <x:c r="G169" s="64" t="s">
        <x:v>34</x:v>
      </x:c>
      <x:c r="H169" s="64" t="s">
        <x:v>78</x:v>
      </x:c>
      <x:c r="I169" s="92" t="n">
        <x:f>IF(B169="","",IFERROR(INDEX(Planos_Contratos!$G$4:$G$203,MATCH(B169,Planos_Contratos!$A$4:$A$203,0)),""))</x:f>
        <x:v>81</x:v>
      </x:c>
    </x:row>
    <x:row r="170" ht="20" customHeight="1">
      <x:c r="A170" s="68">
        <x:f t="shared" si="2"/>
        <x:v>167</x:v>
      </x:c>
      <x:c r="B170" s="64">
        <x:v>10</x:v>
      </x:c>
      <x:c r="C170" s="68" t="str">
        <x:f>IF(B170="","",IFERROR(INDEX(Planos_Contratos!$B$4:$B$203,MATCH(B170,Planos_Contratos!$A$4:$A$203,0)),""))</x:f>
        <x:v>Paciente 010</x:v>
      </x:c>
      <x:c r="D170" s="68" t="n">
        <x:f>IF(B170="","",IFERROR(INDEX(Planos_Contratos!$C$4:$C$203,MATCH(B170,Planos_Contratos!$A$4:$A$203,0)),""))</x:f>
        <x:v>10</x:v>
      </x:c>
      <x:c r="E170" s="72">
        <x:v>46259</x:v>
      </x:c>
      <x:c r="F170" s="104">
        <x:v>0.75</x:v>
      </x:c>
      <x:c r="G170" s="64" t="s">
        <x:v>34</x:v>
      </x:c>
      <x:c r="H170" s="64" t="s">
        <x:v>78</x:v>
      </x:c>
      <x:c r="I170" s="92" t="n">
        <x:f>IF(B170="","",IFERROR(INDEX(Planos_Contratos!$G$4:$G$203,MATCH(B170,Planos_Contratos!$A$4:$A$203,0)),""))</x:f>
        <x:v>81</x:v>
      </x:c>
    </x:row>
    <x:row r="171" ht="20" customHeight="1">
      <x:c r="A171" s="68">
        <x:f t="shared" si="2"/>
        <x:v>168</x:v>
      </x:c>
      <x:c r="B171" s="64">
        <x:v>18</x:v>
      </x:c>
      <x:c r="C171" s="68" t="str">
        <x:f>IF(B171="","",IFERROR(INDEX(Planos_Contratos!$B$4:$B$203,MATCH(B171,Planos_Contratos!$A$4:$A$203,0)),""))</x:f>
        <x:v>Paciente 003</x:v>
      </x:c>
      <x:c r="D171" s="68" t="n">
        <x:f>IF(B171="","",IFERROR(INDEX(Planos_Contratos!$C$4:$C$203,MATCH(B171,Planos_Contratos!$A$4:$A$203,0)),""))</x:f>
        <x:v>3</x:v>
      </x:c>
      <x:c r="E171" s="72">
        <x:v>46259</x:v>
      </x:c>
      <x:c r="F171" s="104">
        <x:v>0.58333333333333337</x:v>
      </x:c>
      <x:c r="G171" s="64" t="s">
        <x:v>34</x:v>
      </x:c>
      <x:c r="H171" s="64" t="s">
        <x:v>81</x:v>
      </x:c>
      <x:c r="I171" s="92" t="n">
        <x:f>IF(B171="","",IFERROR(INDEX(Planos_Contratos!$G$4:$G$203,MATCH(B171,Planos_Contratos!$A$4:$A$203,0)),""))</x:f>
        <x:v>81</x:v>
      </x:c>
    </x:row>
    <x:row r="172" ht="20" customHeight="1">
      <x:c r="A172" s="68">
        <x:f t="shared" si="2"/>
        <x:v>169</x:v>
      </x:c>
      <x:c r="B172" s="64">
        <x:v>3</x:v>
      </x:c>
      <x:c r="C172" s="68" t="str">
        <x:f>IF(B172="","",IFERROR(INDEX(Planos_Contratos!$B$4:$B$203,MATCH(B172,Planos_Contratos!$A$4:$A$203,0)),""))</x:f>
        <x:v>Paciente 003</x:v>
      </x:c>
      <x:c r="D172" s="68" t="n">
        <x:f>IF(B172="","",IFERROR(INDEX(Planos_Contratos!$C$4:$C$203,MATCH(B172,Planos_Contratos!$A$4:$A$203,0)),""))</x:f>
        <x:v>3</x:v>
      </x:c>
      <x:c r="E172" s="72">
        <x:v>46263</x:v>
      </x:c>
      <x:c r="F172" s="104">
        <x:v>0.625</x:v>
      </x:c>
      <x:c r="G172" s="64" t="s">
        <x:v>34</x:v>
      </x:c>
      <x:c r="H172" s="64" t="s">
        <x:v>78</x:v>
      </x:c>
      <x:c r="I172" s="92" t="n">
        <x:f>IF(B172="","",IFERROR(INDEX(Planos_Contratos!$G$4:$G$203,MATCH(B172,Planos_Contratos!$A$4:$A$203,0)),""))</x:f>
        <x:v>180</x:v>
      </x:c>
    </x:row>
    <x:row r="173" ht="20" customHeight="1">
      <x:c r="A173" s="68">
        <x:f t="shared" si="2"/>
        <x:v>170</x:v>
      </x:c>
      <x:c r="B173" s="64">
        <x:v>6</x:v>
      </x:c>
      <x:c r="C173" s="68" t="str">
        <x:f>IF(B173="","",IFERROR(INDEX(Planos_Contratos!$B$4:$B$203,MATCH(B173,Planos_Contratos!$A$4:$A$203,0)),""))</x:f>
        <x:v>Paciente 006</x:v>
      </x:c>
      <x:c r="D173" s="68" t="n">
        <x:f>IF(B173="","",IFERROR(INDEX(Planos_Contratos!$C$4:$C$203,MATCH(B173,Planos_Contratos!$A$4:$A$203,0)),""))</x:f>
        <x:v>6</x:v>
      </x:c>
      <x:c r="E173" s="72">
        <x:v>46263</x:v>
      </x:c>
      <x:c r="F173" s="104">
        <x:v>0.39583333333333331</x:v>
      </x:c>
      <x:c r="G173" s="64" t="s">
        <x:v>37</x:v>
      </x:c>
      <x:c r="H173" s="64" t="s">
        <x:v>78</x:v>
      </x:c>
      <x:c r="I173" s="92" t="n">
        <x:f>IF(B173="","",IFERROR(INDEX(Planos_Contratos!$G$4:$G$203,MATCH(B173,Planos_Contratos!$A$4:$A$203,0)),""))</x:f>
        <x:v>180</x:v>
      </x:c>
    </x:row>
    <x:row r="174" ht="20" customHeight="1">
      <x:c r="A174" s="68">
        <x:f t="shared" si="2"/>
        <x:v>171</x:v>
      </x:c>
      <x:c r="B174" s="64">
        <x:v>6</x:v>
      </x:c>
      <x:c r="C174" s="68" t="str">
        <x:f>IF(B174="","",IFERROR(INDEX(Planos_Contratos!$B$4:$B$203,MATCH(B174,Planos_Contratos!$A$4:$A$203,0)),""))</x:f>
        <x:v>Paciente 006</x:v>
      </x:c>
      <x:c r="D174" s="68" t="n">
        <x:f>IF(B174="","",IFERROR(INDEX(Planos_Contratos!$C$4:$C$203,MATCH(B174,Planos_Contratos!$A$4:$A$203,0)),""))</x:f>
        <x:v>6</x:v>
      </x:c>
      <x:c r="E174" s="72">
        <x:v>46263</x:v>
      </x:c>
      <x:c r="F174" s="104">
        <x:v>0.375</x:v>
      </x:c>
      <x:c r="G174" s="64" t="s">
        <x:v>37</x:v>
      </x:c>
      <x:c r="H174" s="64" t="s">
        <x:v>78</x:v>
      </x:c>
      <x:c r="I174" s="92" t="n">
        <x:f>IF(B174="","",IFERROR(INDEX(Planos_Contratos!$G$4:$G$203,MATCH(B174,Planos_Contratos!$A$4:$A$203,0)),""))</x:f>
        <x:v>180</x:v>
      </x:c>
    </x:row>
    <x:row r="175" ht="20" customHeight="1">
      <x:c r="A175" s="68">
        <x:f t="shared" si="2"/>
        <x:v>172</x:v>
      </x:c>
      <x:c r="B175" s="64">
        <x:v>8</x:v>
      </x:c>
      <x:c r="C175" s="68" t="str">
        <x:f>IF(B175="","",IFERROR(INDEX(Planos_Contratos!$B$4:$B$203,MATCH(B175,Planos_Contratos!$A$4:$A$203,0)),""))</x:f>
        <x:v>Paciente 008</x:v>
      </x:c>
      <x:c r="D175" s="68" t="n">
        <x:f>IF(B175="","",IFERROR(INDEX(Planos_Contratos!$C$4:$C$203,MATCH(B175,Planos_Contratos!$A$4:$A$203,0)),""))</x:f>
        <x:v>8</x:v>
      </x:c>
      <x:c r="E175" s="72">
        <x:v>46263</x:v>
      </x:c>
      <x:c r="F175" s="104">
        <x:v>0.70833333333333337</x:v>
      </x:c>
      <x:c r="G175" s="64" t="s">
        <x:v>34</x:v>
      </x:c>
      <x:c r="H175" s="64" t="s">
        <x:v>78</x:v>
      </x:c>
      <x:c r="I175" s="92" t="n">
        <x:f>IF(B175="","",IFERROR(INDEX(Planos_Contratos!$G$4:$G$203,MATCH(B175,Planos_Contratos!$A$4:$A$203,0)),""))</x:f>
        <x:v>180</x:v>
      </x:c>
    </x:row>
    <x:row r="176" ht="20" customHeight="1">
      <x:c r="A176" s="68">
        <x:f t="shared" si="2"/>
        <x:v>173</x:v>
      </x:c>
      <x:c r="B176" s="64">
        <x:v>8</x:v>
      </x:c>
      <x:c r="C176" s="68" t="str">
        <x:f>IF(B176="","",IFERROR(INDEX(Planos_Contratos!$B$4:$B$203,MATCH(B176,Planos_Contratos!$A$4:$A$203,0)),""))</x:f>
        <x:v>Paciente 008</x:v>
      </x:c>
      <x:c r="D176" s="68" t="n">
        <x:f>IF(B176="","",IFERROR(INDEX(Planos_Contratos!$C$4:$C$203,MATCH(B176,Planos_Contratos!$A$4:$A$203,0)),""))</x:f>
        <x:v>8</x:v>
      </x:c>
      <x:c r="E176" s="72">
        <x:v>46264</x:v>
      </x:c>
      <x:c r="F176" s="104">
        <x:v>0.33333333333333331</x:v>
      </x:c>
      <x:c r="G176" s="64" t="s">
        <x:v>34</x:v>
      </x:c>
      <x:c r="H176" s="64" t="s">
        <x:v>78</x:v>
      </x:c>
      <x:c r="I176" s="92" t="n">
        <x:f>IF(B176="","",IFERROR(INDEX(Planos_Contratos!$G$4:$G$203,MATCH(B176,Planos_Contratos!$A$4:$A$203,0)),""))</x:f>
        <x:v>180</x:v>
      </x:c>
    </x:row>
    <x:row r="177" ht="20" customHeight="1">
      <x:c r="A177" s="68">
        <x:f t="shared" si="2"/>
        <x:v>174</x:v>
      </x:c>
      <x:c r="B177" s="64">
        <x:v>3</x:v>
      </x:c>
      <x:c r="C177" s="68" t="str">
        <x:f>IF(B177="","",IFERROR(INDEX(Planos_Contratos!$B$4:$B$203,MATCH(B177,Planos_Contratos!$A$4:$A$203,0)),""))</x:f>
        <x:v>Paciente 003</x:v>
      </x:c>
      <x:c r="D177" s="68" t="n">
        <x:f>IF(B177="","",IFERROR(INDEX(Planos_Contratos!$C$4:$C$203,MATCH(B177,Planos_Contratos!$A$4:$A$203,0)),""))</x:f>
        <x:v>3</x:v>
      </x:c>
      <x:c r="E177" s="72">
        <x:v>46265</x:v>
      </x:c>
      <x:c r="F177" s="104">
        <x:v>0.70833333333333337</x:v>
      </x:c>
      <x:c r="G177" s="64" t="s">
        <x:v>34</x:v>
      </x:c>
      <x:c r="H177" s="64" t="s">
        <x:v>78</x:v>
      </x:c>
      <x:c r="I177" s="92" t="n">
        <x:f>IF(B177="","",IFERROR(INDEX(Planos_Contratos!$G$4:$G$203,MATCH(B177,Planos_Contratos!$A$4:$A$203,0)),""))</x:f>
        <x:v>180</x:v>
      </x:c>
    </x:row>
    <x:row r="178" ht="20" customHeight="1">
      <x:c r="A178" s="68">
        <x:f t="shared" si="2"/>
        <x:v>175</x:v>
      </x:c>
      <x:c r="B178" s="64">
        <x:v>18</x:v>
      </x:c>
      <x:c r="C178" s="68" t="str">
        <x:f>IF(B178="","",IFERROR(INDEX(Planos_Contratos!$B$4:$B$203,MATCH(B178,Planos_Contratos!$A$4:$A$203,0)),""))</x:f>
        <x:v>Paciente 003</x:v>
      </x:c>
      <x:c r="D178" s="68" t="n">
        <x:f>IF(B178="","",IFERROR(INDEX(Planos_Contratos!$C$4:$C$203,MATCH(B178,Planos_Contratos!$A$4:$A$203,0)),""))</x:f>
        <x:v>3</x:v>
      </x:c>
      <x:c r="E178" s="72">
        <x:v>46265</x:v>
      </x:c>
      <x:c r="F178" s="104">
        <x:v>0.72916666666666663</x:v>
      </x:c>
      <x:c r="G178" s="64" t="s">
        <x:v>34</x:v>
      </x:c>
      <x:c r="H178" s="64" t="s">
        <x:v>78</x:v>
      </x:c>
      <x:c r="I178" s="92" t="n">
        <x:f>IF(B178="","",IFERROR(INDEX(Planos_Contratos!$G$4:$G$203,MATCH(B178,Planos_Contratos!$A$4:$A$203,0)),""))</x:f>
        <x:v>81</x:v>
      </x:c>
    </x:row>
    <x:row r="179" ht="20" customHeight="1">
      <x:c r="A179" s="68">
        <x:f t="shared" si="2"/>
        <x:v>176</x:v>
      </x:c>
      <x:c r="B179" s="64">
        <x:v>3</x:v>
      </x:c>
      <x:c r="C179" s="68" t="str">
        <x:f>IF(B179="","",IFERROR(INDEX(Planos_Contratos!$B$4:$B$203,MATCH(B179,Planos_Contratos!$A$4:$A$203,0)),""))</x:f>
        <x:v>Paciente 003</x:v>
      </x:c>
      <x:c r="D179" s="68" t="n">
        <x:f>IF(B179="","",IFERROR(INDEX(Planos_Contratos!$C$4:$C$203,MATCH(B179,Planos_Contratos!$A$4:$A$203,0)),""))</x:f>
        <x:v>3</x:v>
      </x:c>
      <x:c r="E179" s="72">
        <x:v>46266</x:v>
      </x:c>
      <x:c r="F179" s="104">
        <x:v>0.70833333333333337</x:v>
      </x:c>
      <x:c r="G179" s="64" t="s">
        <x:v>34</x:v>
      </x:c>
      <x:c r="H179" s="64" t="s">
        <x:v>78</x:v>
      </x:c>
      <x:c r="I179" s="92" t="n">
        <x:f>IF(B179="","",IFERROR(INDEX(Planos_Contratos!$G$4:$G$203,MATCH(B179,Planos_Contratos!$A$4:$A$203,0)),""))</x:f>
        <x:v>180</x:v>
      </x:c>
    </x:row>
    <x:row r="180" ht="20" customHeight="1">
      <x:c r="A180" s="68">
        <x:f t="shared" si="2"/>
        <x:v>177</x:v>
      </x:c>
      <x:c r="B180" s="64">
        <x:v>8</x:v>
      </x:c>
      <x:c r="C180" s="68" t="str">
        <x:f>IF(B180="","",IFERROR(INDEX(Planos_Contratos!$B$4:$B$203,MATCH(B180,Planos_Contratos!$A$4:$A$203,0)),""))</x:f>
        <x:v>Paciente 008</x:v>
      </x:c>
      <x:c r="D180" s="68" t="n">
        <x:f>IF(B180="","",IFERROR(INDEX(Planos_Contratos!$C$4:$C$203,MATCH(B180,Planos_Contratos!$A$4:$A$203,0)),""))</x:f>
        <x:v>8</x:v>
      </x:c>
      <x:c r="E180" s="72">
        <x:v>46266</x:v>
      </x:c>
      <x:c r="F180" s="104">
        <x:v>0.4375</x:v>
      </x:c>
      <x:c r="G180" s="64" t="s">
        <x:v>34</x:v>
      </x:c>
      <x:c r="H180" s="64" t="s">
        <x:v>78</x:v>
      </x:c>
      <x:c r="I180" s="92" t="n">
        <x:f>IF(B180="","",IFERROR(INDEX(Planos_Contratos!$G$4:$G$203,MATCH(B180,Planos_Contratos!$A$4:$A$203,0)),""))</x:f>
        <x:v>180</x:v>
      </x:c>
    </x:row>
    <x:row r="181" ht="20" customHeight="1">
      <x:c r="A181" s="68">
        <x:f t="shared" si="2"/>
        <x:v>178</x:v>
      </x:c>
      <x:c r="B181" s="64">
        <x:v>8</x:v>
      </x:c>
      <x:c r="C181" s="68" t="str">
        <x:f>IF(B181="","",IFERROR(INDEX(Planos_Contratos!$B$4:$B$203,MATCH(B181,Planos_Contratos!$A$4:$A$203,0)),""))</x:f>
        <x:v>Paciente 008</x:v>
      </x:c>
      <x:c r="D181" s="68" t="n">
        <x:f>IF(B181="","",IFERROR(INDEX(Planos_Contratos!$C$4:$C$203,MATCH(B181,Planos_Contratos!$A$4:$A$203,0)),""))</x:f>
        <x:v>8</x:v>
      </x:c>
      <x:c r="E181" s="72">
        <x:v>46266</x:v>
      </x:c>
      <x:c r="F181" s="104">
        <x:v>0.66666666666666663</x:v>
      </x:c>
      <x:c r="G181" s="64" t="s">
        <x:v>34</x:v>
      </x:c>
      <x:c r="H181" s="64" t="s">
        <x:v>78</x:v>
      </x:c>
      <x:c r="I181" s="92" t="n">
        <x:f>IF(B181="","",IFERROR(INDEX(Planos_Contratos!$G$4:$G$203,MATCH(B181,Planos_Contratos!$A$4:$A$203,0)),""))</x:f>
        <x:v>180</x:v>
      </x:c>
    </x:row>
    <x:row r="182" ht="20" customHeight="1">
      <x:c r="A182" s="68">
        <x:f t="shared" si="2"/>
        <x:v>179</x:v>
      </x:c>
      <x:c r="B182" s="64">
        <x:v>8</x:v>
      </x:c>
      <x:c r="C182" s="68" t="str">
        <x:f>IF(B182="","",IFERROR(INDEX(Planos_Contratos!$B$4:$B$203,MATCH(B182,Planos_Contratos!$A$4:$A$203,0)),""))</x:f>
        <x:v>Paciente 008</x:v>
      </x:c>
      <x:c r="D182" s="68" t="n">
        <x:f>IF(B182="","",IFERROR(INDEX(Planos_Contratos!$C$4:$C$203,MATCH(B182,Planos_Contratos!$A$4:$A$203,0)),""))</x:f>
        <x:v>8</x:v>
      </x:c>
      <x:c r="E182" s="72">
        <x:v>46266</x:v>
      </x:c>
      <x:c r="F182" s="104">
        <x:v>0.41666666666666669</x:v>
      </x:c>
      <x:c r="G182" s="64" t="s">
        <x:v>34</x:v>
      </x:c>
      <x:c r="H182" s="64" t="s">
        <x:v>78</x:v>
      </x:c>
      <x:c r="I182" s="92" t="n">
        <x:f>IF(B182="","",IFERROR(INDEX(Planos_Contratos!$G$4:$G$203,MATCH(B182,Planos_Contratos!$A$4:$A$203,0)),""))</x:f>
        <x:v>180</x:v>
      </x:c>
    </x:row>
    <x:row r="183" ht="20" customHeight="1">
      <x:c r="A183" s="68">
        <x:f t="shared" si="2"/>
        <x:v>180</x:v>
      </x:c>
      <x:c r="B183" s="64">
        <x:v>8</x:v>
      </x:c>
      <x:c r="C183" s="68" t="str">
        <x:f>IF(B183="","",IFERROR(INDEX(Planos_Contratos!$B$4:$B$203,MATCH(B183,Planos_Contratos!$A$4:$A$203,0)),""))</x:f>
        <x:v>Paciente 008</x:v>
      </x:c>
      <x:c r="D183" s="68" t="n">
        <x:f>IF(B183="","",IFERROR(INDEX(Planos_Contratos!$C$4:$C$203,MATCH(B183,Planos_Contratos!$A$4:$A$203,0)),""))</x:f>
        <x:v>8</x:v>
      </x:c>
      <x:c r="E183" s="72">
        <x:v>46266</x:v>
      </x:c>
      <x:c r="F183" s="104">
        <x:v>0.33333333333333331</x:v>
      </x:c>
      <x:c r="G183" s="64" t="s">
        <x:v>34</x:v>
      </x:c>
      <x:c r="H183" s="64" t="s">
        <x:v>78</x:v>
      </x:c>
      <x:c r="I183" s="92" t="n">
        <x:f>IF(B183="","",IFERROR(INDEX(Planos_Contratos!$G$4:$G$203,MATCH(B183,Planos_Contratos!$A$4:$A$203,0)),""))</x:f>
        <x:v>180</x:v>
      </x:c>
    </x:row>
    <x:row r="184" ht="20" customHeight="1">
      <x:c r="A184" s="68">
        <x:f t="shared" si="2"/>
        <x:v>181</x:v>
      </x:c>
      <x:c r="B184" s="64">
        <x:v>10</x:v>
      </x:c>
      <x:c r="C184" s="68" t="str">
        <x:f>IF(B184="","",IFERROR(INDEX(Planos_Contratos!$B$4:$B$203,MATCH(B184,Planos_Contratos!$A$4:$A$203,0)),""))</x:f>
        <x:v>Paciente 010</x:v>
      </x:c>
      <x:c r="D184" s="68" t="n">
        <x:f>IF(B184="","",IFERROR(INDEX(Planos_Contratos!$C$4:$C$203,MATCH(B184,Planos_Contratos!$A$4:$A$203,0)),""))</x:f>
        <x:v>10</x:v>
      </x:c>
      <x:c r="E184" s="72">
        <x:v>46266</x:v>
      </x:c>
      <x:c r="F184" s="104">
        <x:v>0.70833333333333337</x:v>
      </x:c>
      <x:c r="G184" s="64" t="s">
        <x:v>34</x:v>
      </x:c>
      <x:c r="H184" s="64" t="s">
        <x:v>78</x:v>
      </x:c>
      <x:c r="I184" s="92" t="n">
        <x:f>IF(B184="","",IFERROR(INDEX(Planos_Contratos!$G$4:$G$203,MATCH(B184,Planos_Contratos!$A$4:$A$203,0)),""))</x:f>
        <x:v>81</x:v>
      </x:c>
    </x:row>
    <x:row r="185" ht="20" customHeight="1">
      <x:c r="A185" s="68">
        <x:f t="shared" si="2"/>
        <x:v>182</x:v>
      </x:c>
      <x:c r="B185" s="64">
        <x:v>3</x:v>
      </x:c>
      <x:c r="C185" s="68" t="str">
        <x:f>IF(B185="","",IFERROR(INDEX(Planos_Contratos!$B$4:$B$203,MATCH(B185,Planos_Contratos!$A$4:$A$203,0)),""))</x:f>
        <x:v>Paciente 003</x:v>
      </x:c>
      <x:c r="D185" s="68" t="n">
        <x:f>IF(B185="","",IFERROR(INDEX(Planos_Contratos!$C$4:$C$203,MATCH(B185,Planos_Contratos!$A$4:$A$203,0)),""))</x:f>
        <x:v>3</x:v>
      </x:c>
      <x:c r="E185" s="72">
        <x:v>46267</x:v>
      </x:c>
      <x:c r="F185" s="104">
        <x:v>0.75</x:v>
      </x:c>
      <x:c r="G185" s="64" t="s">
        <x:v>34</x:v>
      </x:c>
      <x:c r="H185" s="64" t="s">
        <x:v>78</x:v>
      </x:c>
      <x:c r="I185" s="92" t="n">
        <x:f>IF(B185="","",IFERROR(INDEX(Planos_Contratos!$G$4:$G$203,MATCH(B185,Planos_Contratos!$A$4:$A$203,0)),""))</x:f>
        <x:v>180</x:v>
      </x:c>
    </x:row>
    <x:row r="186" ht="20" customHeight="1">
      <x:c r="A186" s="68">
        <x:f t="shared" si="2"/>
        <x:v>183</x:v>
      </x:c>
      <x:c r="B186" s="64">
        <x:v>3</x:v>
      </x:c>
      <x:c r="C186" s="68" t="str">
        <x:f>IF(B186="","",IFERROR(INDEX(Planos_Contratos!$B$4:$B$203,MATCH(B186,Planos_Contratos!$A$4:$A$203,0)),""))</x:f>
        <x:v>Paciente 003</x:v>
      </x:c>
      <x:c r="D186" s="68" t="n">
        <x:f>IF(B186="","",IFERROR(INDEX(Planos_Contratos!$C$4:$C$203,MATCH(B186,Planos_Contratos!$A$4:$A$203,0)),""))</x:f>
        <x:v>3</x:v>
      </x:c>
      <x:c r="E186" s="72">
        <x:v>46267</x:v>
      </x:c>
      <x:c r="F186" s="104">
        <x:v>0.375</x:v>
      </x:c>
      <x:c r="G186" s="64" t="s">
        <x:v>34</x:v>
      </x:c>
      <x:c r="H186" s="64" t="s">
        <x:v>78</x:v>
      </x:c>
      <x:c r="I186" s="92" t="n">
        <x:f>IF(B186="","",IFERROR(INDEX(Planos_Contratos!$G$4:$G$203,MATCH(B186,Planos_Contratos!$A$4:$A$203,0)),""))</x:f>
        <x:v>180</x:v>
      </x:c>
    </x:row>
    <x:row r="187" ht="20" customHeight="1">
      <x:c r="A187" s="68">
        <x:f t="shared" si="2"/>
        <x:v>184</x:v>
      </x:c>
      <x:c r="B187" s="64">
        <x:v>8</x:v>
      </x:c>
      <x:c r="C187" s="68" t="str">
        <x:f>IF(B187="","",IFERROR(INDEX(Planos_Contratos!$B$4:$B$203,MATCH(B187,Planos_Contratos!$A$4:$A$203,0)),""))</x:f>
        <x:v>Paciente 008</x:v>
      </x:c>
      <x:c r="D187" s="68" t="n">
        <x:f>IF(B187="","",IFERROR(INDEX(Planos_Contratos!$C$4:$C$203,MATCH(B187,Planos_Contratos!$A$4:$A$203,0)),""))</x:f>
        <x:v>8</x:v>
      </x:c>
      <x:c r="E187" s="72">
        <x:v>46267</x:v>
      </x:c>
      <x:c r="F187" s="104">
        <x:v>0.625</x:v>
      </x:c>
      <x:c r="G187" s="64" t="s">
        <x:v>34</x:v>
      </x:c>
      <x:c r="H187" s="64" t="s">
        <x:v>78</x:v>
      </x:c>
      <x:c r="I187" s="92" t="n">
        <x:f>IF(B187="","",IFERROR(INDEX(Planos_Contratos!$G$4:$G$203,MATCH(B187,Planos_Contratos!$A$4:$A$203,0)),""))</x:f>
        <x:v>180</x:v>
      </x:c>
    </x:row>
    <x:row r="188" ht="20" customHeight="1">
      <x:c r="A188" s="68">
        <x:f t="shared" si="2"/>
        <x:v>185</x:v>
      </x:c>
      <x:c r="B188" s="64">
        <x:v>11</x:v>
      </x:c>
      <x:c r="C188" s="68" t="str">
        <x:f>IF(B188="","",IFERROR(INDEX(Planos_Contratos!$B$4:$B$203,MATCH(B188,Planos_Contratos!$A$4:$A$203,0)),""))</x:f>
        <x:v>Paciente 011</x:v>
      </x:c>
      <x:c r="D188" s="68" t="n">
        <x:f>IF(B188="","",IFERROR(INDEX(Planos_Contratos!$C$4:$C$203,MATCH(B188,Planos_Contratos!$A$4:$A$203,0)),""))</x:f>
        <x:v>11</x:v>
      </x:c>
      <x:c r="E188" s="72">
        <x:v>46267</x:v>
      </x:c>
      <x:c r="F188" s="104">
        <x:v>0.70833333333333337</x:v>
      </x:c>
      <x:c r="G188" s="64" t="s">
        <x:v>34</x:v>
      </x:c>
      <x:c r="H188" s="64" t="s">
        <x:v>78</x:v>
      </x:c>
      <x:c r="I188" s="92" t="n">
        <x:f>IF(B188="","",IFERROR(INDEX(Planos_Contratos!$G$4:$G$203,MATCH(B188,Planos_Contratos!$A$4:$A$203,0)),""))</x:f>
        <x:v>270</x:v>
      </x:c>
    </x:row>
    <x:row r="189" ht="20" customHeight="1">
      <x:c r="A189" s="68">
        <x:f t="shared" si="2"/>
        <x:v>186</x:v>
      </x:c>
      <x:c r="B189" s="64">
        <x:v>2</x:v>
      </x:c>
      <x:c r="C189" s="68" t="str">
        <x:f>IF(B189="","",IFERROR(INDEX(Planos_Contratos!$B$4:$B$203,MATCH(B189,Planos_Contratos!$A$4:$A$203,0)),""))</x:f>
        <x:v>Paciente 002</x:v>
      </x:c>
      <x:c r="D189" s="68" t="n">
        <x:f>IF(B189="","",IFERROR(INDEX(Planos_Contratos!$C$4:$C$203,MATCH(B189,Planos_Contratos!$A$4:$A$203,0)),""))</x:f>
        <x:v>2</x:v>
      </x:c>
      <x:c r="E189" s="72">
        <x:v>46268</x:v>
      </x:c>
      <x:c r="F189" s="104">
        <x:v>0.54166666666666663</x:v>
      </x:c>
      <x:c r="G189" s="64" t="s">
        <x:v>37</x:v>
      </x:c>
      <x:c r="H189" s="64" t="s">
        <x:v>78</x:v>
      </x:c>
      <x:c r="I189" s="92" t="n">
        <x:f>IF(B189="","",IFERROR(INDEX(Planos_Contratos!$G$4:$G$203,MATCH(B189,Planos_Contratos!$A$4:$A$203,0)),""))</x:f>
        <x:v>180</x:v>
      </x:c>
    </x:row>
    <x:row r="190" ht="20" customHeight="1">
      <x:c r="A190" s="68">
        <x:f t="shared" si="2"/>
        <x:v>187</x:v>
      </x:c>
      <x:c r="B190" s="64">
        <x:v>1</x:v>
      </x:c>
      <x:c r="C190" s="68" t="str">
        <x:f>IF(B190="","",IFERROR(INDEX(Planos_Contratos!$B$4:$B$203,MATCH(B190,Planos_Contratos!$A$4:$A$203,0)),""))</x:f>
        <x:v>Paciente 001</x:v>
      </x:c>
      <x:c r="D190" s="68" t="n">
        <x:f>IF(B190="","",IFERROR(INDEX(Planos_Contratos!$C$4:$C$203,MATCH(B190,Planos_Contratos!$A$4:$A$203,0)),""))</x:f>
        <x:v>1</x:v>
      </x:c>
      <x:c r="E190" s="72">
        <x:v>46269</x:v>
      </x:c>
      <x:c r="F190" s="104">
        <x:v>0.375</x:v>
      </x:c>
      <x:c r="G190" s="64" t="s">
        <x:v>34</x:v>
      </x:c>
      <x:c r="H190" s="64" t="s">
        <x:v>78</x:v>
      </x:c>
      <x:c r="I190" s="92" t="n">
        <x:f>IF(B190="","",IFERROR(INDEX(Planos_Contratos!$G$4:$G$203,MATCH(B190,Planos_Contratos!$A$4:$A$203,0)),""))</x:f>
        <x:v>270</x:v>
      </x:c>
    </x:row>
    <x:row r="191" ht="20" customHeight="1">
      <x:c r="A191" s="68">
        <x:f t="shared" si="2"/>
        <x:v>188</x:v>
      </x:c>
      <x:c r="B191" s="64">
        <x:v>8</x:v>
      </x:c>
      <x:c r="C191" s="68" t="str">
        <x:f>IF(B191="","",IFERROR(INDEX(Planos_Contratos!$B$4:$B$203,MATCH(B191,Planos_Contratos!$A$4:$A$203,0)),""))</x:f>
        <x:v>Paciente 008</x:v>
      </x:c>
      <x:c r="D191" s="68" t="n">
        <x:f>IF(B191="","",IFERROR(INDEX(Planos_Contratos!$C$4:$C$203,MATCH(B191,Planos_Contratos!$A$4:$A$203,0)),""))</x:f>
        <x:v>8</x:v>
      </x:c>
      <x:c r="E191" s="72">
        <x:v>46269</x:v>
      </x:c>
      <x:c r="F191" s="104">
        <x:v>0.47916666666666669</x:v>
      </x:c>
      <x:c r="G191" s="64" t="s">
        <x:v>34</x:v>
      </x:c>
      <x:c r="H191" s="64" t="s">
        <x:v>78</x:v>
      </x:c>
      <x:c r="I191" s="92" t="n">
        <x:f>IF(B191="","",IFERROR(INDEX(Planos_Contratos!$G$4:$G$203,MATCH(B191,Planos_Contratos!$A$4:$A$203,0)),""))</x:f>
        <x:v>180</x:v>
      </x:c>
    </x:row>
    <x:row r="192" ht="20" customHeight="1">
      <x:c r="A192" s="68">
        <x:f t="shared" si="2"/>
        <x:v>189</x:v>
      </x:c>
      <x:c r="B192" s="64">
        <x:v>8</x:v>
      </x:c>
      <x:c r="C192" s="68" t="str">
        <x:f>IF(B192="","",IFERROR(INDEX(Planos_Contratos!$B$4:$B$203,MATCH(B192,Planos_Contratos!$A$4:$A$203,0)),""))</x:f>
        <x:v>Paciente 008</x:v>
      </x:c>
      <x:c r="D192" s="68" t="n">
        <x:f>IF(B192="","",IFERROR(INDEX(Planos_Contratos!$C$4:$C$203,MATCH(B192,Planos_Contratos!$A$4:$A$203,0)),""))</x:f>
        <x:v>8</x:v>
      </x:c>
      <x:c r="E192" s="72">
        <x:v>46269</x:v>
      </x:c>
      <x:c r="F192" s="104">
        <x:v>0.35416666666666669</x:v>
      </x:c>
      <x:c r="G192" s="64" t="s">
        <x:v>34</x:v>
      </x:c>
      <x:c r="H192" s="64" t="s">
        <x:v>78</x:v>
      </x:c>
      <x:c r="I192" s="92" t="n">
        <x:f>IF(B192="","",IFERROR(INDEX(Planos_Contratos!$G$4:$G$203,MATCH(B192,Planos_Contratos!$A$4:$A$203,0)),""))</x:f>
        <x:v>180</x:v>
      </x:c>
    </x:row>
    <x:row r="193" ht="20" customHeight="1">
      <x:c r="A193" s="68">
        <x:f t="shared" si="2"/>
        <x:v>190</x:v>
      </x:c>
      <x:c r="B193" s="64">
        <x:v>3</x:v>
      </x:c>
      <x:c r="C193" s="68" t="str">
        <x:f>IF(B193="","",IFERROR(INDEX(Planos_Contratos!$B$4:$B$203,MATCH(B193,Planos_Contratos!$A$4:$A$203,0)),""))</x:f>
        <x:v>Paciente 003</x:v>
      </x:c>
      <x:c r="D193" s="68" t="n">
        <x:f>IF(B193="","",IFERROR(INDEX(Planos_Contratos!$C$4:$C$203,MATCH(B193,Planos_Contratos!$A$4:$A$203,0)),""))</x:f>
        <x:v>3</x:v>
      </x:c>
      <x:c r="E193" s="72">
        <x:v>46270</x:v>
      </x:c>
      <x:c r="F193" s="104">
        <x:v>0.58333333333333337</x:v>
      </x:c>
      <x:c r="G193" s="64" t="s">
        <x:v>34</x:v>
      </x:c>
      <x:c r="H193" s="64" t="s">
        <x:v>80</x:v>
      </x:c>
      <x:c r="I193" s="92" t="n">
        <x:f>IF(B193="","",IFERROR(INDEX(Planos_Contratos!$G$4:$G$203,MATCH(B193,Planos_Contratos!$A$4:$A$203,0)),""))</x:f>
        <x:v>180</x:v>
      </x:c>
    </x:row>
    <x:row r="194" ht="20" customHeight="1">
      <x:c r="A194" s="68">
        <x:f t="shared" si="2"/>
        <x:v>191</x:v>
      </x:c>
      <x:c r="B194" s="64">
        <x:v>19</x:v>
      </x:c>
      <x:c r="C194" s="68" t="str">
        <x:f>IF(B194="","",IFERROR(INDEX(Planos_Contratos!$B$4:$B$203,MATCH(B194,Planos_Contratos!$A$4:$A$203,0)),""))</x:f>
        <x:v>Paciente 006</x:v>
      </x:c>
      <x:c r="D194" s="68" t="n">
        <x:f>IF(B194="","",IFERROR(INDEX(Planos_Contratos!$C$4:$C$203,MATCH(B194,Planos_Contratos!$A$4:$A$203,0)),""))</x:f>
        <x:v>6</x:v>
      </x:c>
      <x:c r="E194" s="72">
        <x:v>46270</x:v>
      </x:c>
      <x:c r="F194" s="104">
        <x:v>0.33333333333333331</x:v>
      </x:c>
      <x:c r="G194" s="64" t="s">
        <x:v>37</x:v>
      </x:c>
      <x:c r="H194" s="64" t="s">
        <x:v>78</x:v>
      </x:c>
      <x:c r="I194" s="92" t="n">
        <x:f>IF(B194="","",IFERROR(INDEX(Planos_Contratos!$G$4:$G$203,MATCH(B194,Planos_Contratos!$A$4:$A$203,0)),""))</x:f>
        <x:v>180</x:v>
      </x:c>
    </x:row>
    <x:row r="195" ht="20" customHeight="1">
      <x:c r="A195" s="68" t="str">
        <x:f t="shared" si="2"/>
      </x:c>
      <x:c r="B195" s="64"/>
      <x:c r="C195" s="68" t="str">
        <x:f>IF(B195="","",IFERROR(INDEX(Planos_Contratos!$B$4:$B$203,MATCH(B195,Planos_Contratos!$A$4:$A$203,0)),""))</x:f>
      </x:c>
      <x:c r="D195" s="68" t="str">
        <x:f>IF(B195="","",IFERROR(INDEX(Planos_Contratos!$C$4:$C$203,MATCH(B195,Planos_Contratos!$A$4:$A$203,0)),""))</x:f>
      </x:c>
      <x:c r="E195" s="72"/>
      <x:c r="F195" s="104"/>
      <x:c r="G195" s="64"/>
      <x:c r="H195" s="64"/>
      <x:c r="I195" s="92" t="str">
        <x:f>IF(B195="","",IFERROR(INDEX(Planos_Contratos!$G$4:$G$203,MATCH(B195,Planos_Contratos!$A$4:$A$203,0)),""))</x:f>
      </x:c>
    </x:row>
    <x:row r="196" ht="20" customHeight="1">
      <x:c r="A196" s="68" t="str">
        <x:f t="shared" ref="A196:A259" si="3">IF(B196="","",ROW()-3)</x:f>
      </x:c>
      <x:c r="B196" s="64"/>
      <x:c r="C196" s="68" t="str">
        <x:f>IF(B196="","",IFERROR(INDEX(Planos_Contratos!$B$4:$B$203,MATCH(B196,Planos_Contratos!$A$4:$A$203,0)),""))</x:f>
      </x:c>
      <x:c r="D196" s="68" t="str">
        <x:f>IF(B196="","",IFERROR(INDEX(Planos_Contratos!$C$4:$C$203,MATCH(B196,Planos_Contratos!$A$4:$A$203,0)),""))</x:f>
      </x:c>
      <x:c r="E196" s="72"/>
      <x:c r="F196" s="104"/>
      <x:c r="G196" s="64"/>
      <x:c r="H196" s="64"/>
      <x:c r="I196" s="92" t="str">
        <x:f>IF(B196="","",IFERROR(INDEX(Planos_Contratos!$G$4:$G$203,MATCH(B196,Planos_Contratos!$A$4:$A$203,0)),""))</x:f>
      </x:c>
    </x:row>
    <x:row r="197" ht="20" customHeight="1">
      <x:c r="A197" s="68" t="str">
        <x:f t="shared" si="3"/>
      </x:c>
      <x:c r="B197" s="64"/>
      <x:c r="C197" s="68" t="str">
        <x:f>IF(B197="","",IFERROR(INDEX(Planos_Contratos!$B$4:$B$203,MATCH(B197,Planos_Contratos!$A$4:$A$203,0)),""))</x:f>
      </x:c>
      <x:c r="D197" s="68" t="str">
        <x:f>IF(B197="","",IFERROR(INDEX(Planos_Contratos!$C$4:$C$203,MATCH(B197,Planos_Contratos!$A$4:$A$203,0)),""))</x:f>
      </x:c>
      <x:c r="E197" s="72"/>
      <x:c r="F197" s="104"/>
      <x:c r="G197" s="64"/>
      <x:c r="H197" s="64"/>
      <x:c r="I197" s="92" t="str">
        <x:f>IF(B197="","",IFERROR(INDEX(Planos_Contratos!$G$4:$G$203,MATCH(B197,Planos_Contratos!$A$4:$A$203,0)),""))</x:f>
      </x:c>
    </x:row>
    <x:row r="198" ht="20" customHeight="1">
      <x:c r="A198" s="68" t="str">
        <x:f t="shared" si="3"/>
      </x:c>
      <x:c r="B198" s="64"/>
      <x:c r="C198" s="68" t="str">
        <x:f>IF(B198="","",IFERROR(INDEX(Planos_Contratos!$B$4:$B$203,MATCH(B198,Planos_Contratos!$A$4:$A$203,0)),""))</x:f>
      </x:c>
      <x:c r="D198" s="68" t="str">
        <x:f>IF(B198="","",IFERROR(INDEX(Planos_Contratos!$C$4:$C$203,MATCH(B198,Planos_Contratos!$A$4:$A$203,0)),""))</x:f>
      </x:c>
      <x:c r="E198" s="72"/>
      <x:c r="F198" s="104"/>
      <x:c r="G198" s="64"/>
      <x:c r="H198" s="64"/>
      <x:c r="I198" s="92" t="str">
        <x:f>IF(B198="","",IFERROR(INDEX(Planos_Contratos!$G$4:$G$203,MATCH(B198,Planos_Contratos!$A$4:$A$203,0)),""))</x:f>
      </x:c>
    </x:row>
    <x:row r="199" ht="20" customHeight="1">
      <x:c r="A199" s="68" t="str">
        <x:f t="shared" si="3"/>
      </x:c>
      <x:c r="B199" s="64"/>
      <x:c r="C199" s="68" t="str">
        <x:f>IF(B199="","",IFERROR(INDEX(Planos_Contratos!$B$4:$B$203,MATCH(B199,Planos_Contratos!$A$4:$A$203,0)),""))</x:f>
      </x:c>
      <x:c r="D199" s="68" t="str">
        <x:f>IF(B199="","",IFERROR(INDEX(Planos_Contratos!$C$4:$C$203,MATCH(B199,Planos_Contratos!$A$4:$A$203,0)),""))</x:f>
      </x:c>
      <x:c r="E199" s="72"/>
      <x:c r="F199" s="104"/>
      <x:c r="G199" s="64"/>
      <x:c r="H199" s="64"/>
      <x:c r="I199" s="92" t="str">
        <x:f>IF(B199="","",IFERROR(INDEX(Planos_Contratos!$G$4:$G$203,MATCH(B199,Planos_Contratos!$A$4:$A$203,0)),""))</x:f>
      </x:c>
    </x:row>
    <x:row r="200" ht="20" customHeight="1">
      <x:c r="A200" s="68" t="str">
        <x:f t="shared" si="3"/>
      </x:c>
      <x:c r="B200" s="64"/>
      <x:c r="C200" s="68" t="str">
        <x:f>IF(B200="","",IFERROR(INDEX(Planos_Contratos!$B$4:$B$203,MATCH(B200,Planos_Contratos!$A$4:$A$203,0)),""))</x:f>
      </x:c>
      <x:c r="D200" s="68" t="str">
        <x:f>IF(B200="","",IFERROR(INDEX(Planos_Contratos!$C$4:$C$203,MATCH(B200,Planos_Contratos!$A$4:$A$203,0)),""))</x:f>
      </x:c>
      <x:c r="E200" s="72"/>
      <x:c r="F200" s="104"/>
      <x:c r="G200" s="64"/>
      <x:c r="H200" s="64"/>
      <x:c r="I200" s="92" t="str">
        <x:f>IF(B200="","",IFERROR(INDEX(Planos_Contratos!$G$4:$G$203,MATCH(B200,Planos_Contratos!$A$4:$A$203,0)),""))</x:f>
      </x:c>
    </x:row>
    <x:row r="201" ht="20" customHeight="1">
      <x:c r="A201" s="68" t="str">
        <x:f t="shared" si="3"/>
      </x:c>
      <x:c r="B201" s="64"/>
      <x:c r="C201" s="68" t="str">
        <x:f>IF(B201="","",IFERROR(INDEX(Planos_Contratos!$B$4:$B$203,MATCH(B201,Planos_Contratos!$A$4:$A$203,0)),""))</x:f>
      </x:c>
      <x:c r="D201" s="68" t="str">
        <x:f>IF(B201="","",IFERROR(INDEX(Planos_Contratos!$C$4:$C$203,MATCH(B201,Planos_Contratos!$A$4:$A$203,0)),""))</x:f>
      </x:c>
      <x:c r="E201" s="72"/>
      <x:c r="F201" s="104"/>
      <x:c r="G201" s="64"/>
      <x:c r="H201" s="64"/>
      <x:c r="I201" s="92" t="str">
        <x:f>IF(B201="","",IFERROR(INDEX(Planos_Contratos!$G$4:$G$203,MATCH(B201,Planos_Contratos!$A$4:$A$203,0)),""))</x:f>
      </x:c>
    </x:row>
    <x:row r="202" ht="20" customHeight="1">
      <x:c r="A202" s="68" t="str">
        <x:f t="shared" si="3"/>
      </x:c>
      <x:c r="B202" s="64"/>
      <x:c r="C202" s="68" t="str">
        <x:f>IF(B202="","",IFERROR(INDEX(Planos_Contratos!$B$4:$B$203,MATCH(B202,Planos_Contratos!$A$4:$A$203,0)),""))</x:f>
      </x:c>
      <x:c r="D202" s="68" t="str">
        <x:f>IF(B202="","",IFERROR(INDEX(Planos_Contratos!$C$4:$C$203,MATCH(B202,Planos_Contratos!$A$4:$A$203,0)),""))</x:f>
      </x:c>
      <x:c r="E202" s="72"/>
      <x:c r="F202" s="104"/>
      <x:c r="G202" s="64"/>
      <x:c r="H202" s="64"/>
      <x:c r="I202" s="92" t="str">
        <x:f>IF(B202="","",IFERROR(INDEX(Planos_Contratos!$G$4:$G$203,MATCH(B202,Planos_Contratos!$A$4:$A$203,0)),""))</x:f>
      </x:c>
    </x:row>
    <x:row r="203" ht="20" customHeight="1">
      <x:c r="A203" s="68" t="str">
        <x:f t="shared" si="3"/>
      </x:c>
      <x:c r="B203" s="64"/>
      <x:c r="C203" s="68" t="str">
        <x:f>IF(B203="","",IFERROR(INDEX(Planos_Contratos!$B$4:$B$203,MATCH(B203,Planos_Contratos!$A$4:$A$203,0)),""))</x:f>
      </x:c>
      <x:c r="D203" s="68" t="str">
        <x:f>IF(B203="","",IFERROR(INDEX(Planos_Contratos!$C$4:$C$203,MATCH(B203,Planos_Contratos!$A$4:$A$203,0)),""))</x:f>
      </x:c>
      <x:c r="E203" s="72"/>
      <x:c r="F203" s="104"/>
      <x:c r="G203" s="64"/>
      <x:c r="H203" s="64"/>
      <x:c r="I203" s="92" t="str">
        <x:f>IF(B203="","",IFERROR(INDEX(Planos_Contratos!$G$4:$G$203,MATCH(B203,Planos_Contratos!$A$4:$A$203,0)),""))</x:f>
      </x:c>
    </x:row>
    <x:row r="204" ht="20" customHeight="1">
      <x:c r="A204" s="68" t="str">
        <x:f t="shared" si="3"/>
      </x:c>
      <x:c r="B204" s="64"/>
      <x:c r="C204" s="68" t="str">
        <x:f>IF(B204="","",IFERROR(INDEX(Planos_Contratos!$B$4:$B$203,MATCH(B204,Planos_Contratos!$A$4:$A$203,0)),""))</x:f>
      </x:c>
      <x:c r="D204" s="68" t="str">
        <x:f>IF(B204="","",IFERROR(INDEX(Planos_Contratos!$C$4:$C$203,MATCH(B204,Planos_Contratos!$A$4:$A$203,0)),""))</x:f>
      </x:c>
      <x:c r="E204" s="72"/>
      <x:c r="F204" s="104"/>
      <x:c r="G204" s="64"/>
      <x:c r="H204" s="64"/>
      <x:c r="I204" s="92" t="str">
        <x:f>IF(B204="","",IFERROR(INDEX(Planos_Contratos!$G$4:$G$203,MATCH(B204,Planos_Contratos!$A$4:$A$203,0)),""))</x:f>
      </x:c>
    </x:row>
    <x:row r="205" ht="20" customHeight="1">
      <x:c r="A205" s="68" t="str">
        <x:f t="shared" si="3"/>
      </x:c>
      <x:c r="B205" s="64"/>
      <x:c r="C205" s="68" t="str">
        <x:f>IF(B205="","",IFERROR(INDEX(Planos_Contratos!$B$4:$B$203,MATCH(B205,Planos_Contratos!$A$4:$A$203,0)),""))</x:f>
      </x:c>
      <x:c r="D205" s="68" t="str">
        <x:f>IF(B205="","",IFERROR(INDEX(Planos_Contratos!$C$4:$C$203,MATCH(B205,Planos_Contratos!$A$4:$A$203,0)),""))</x:f>
      </x:c>
      <x:c r="E205" s="72"/>
      <x:c r="F205" s="104"/>
      <x:c r="G205" s="64"/>
      <x:c r="H205" s="64"/>
      <x:c r="I205" s="92" t="str">
        <x:f>IF(B205="","",IFERROR(INDEX(Planos_Contratos!$G$4:$G$203,MATCH(B205,Planos_Contratos!$A$4:$A$203,0)),""))</x:f>
      </x:c>
    </x:row>
    <x:row r="206" ht="20" customHeight="1">
      <x:c r="A206" s="68" t="str">
        <x:f t="shared" si="3"/>
      </x:c>
      <x:c r="B206" s="64"/>
      <x:c r="C206" s="68" t="str">
        <x:f>IF(B206="","",IFERROR(INDEX(Planos_Contratos!$B$4:$B$203,MATCH(B206,Planos_Contratos!$A$4:$A$203,0)),""))</x:f>
      </x:c>
      <x:c r="D206" s="68" t="str">
        <x:f>IF(B206="","",IFERROR(INDEX(Planos_Contratos!$C$4:$C$203,MATCH(B206,Planos_Contratos!$A$4:$A$203,0)),""))</x:f>
      </x:c>
      <x:c r="E206" s="72"/>
      <x:c r="F206" s="104"/>
      <x:c r="G206" s="64"/>
      <x:c r="H206" s="64"/>
      <x:c r="I206" s="92" t="str">
        <x:f>IF(B206="","",IFERROR(INDEX(Planos_Contratos!$G$4:$G$203,MATCH(B206,Planos_Contratos!$A$4:$A$203,0)),""))</x:f>
      </x:c>
    </x:row>
    <x:row r="207" ht="20" customHeight="1">
      <x:c r="A207" s="68" t="str">
        <x:f t="shared" si="3"/>
      </x:c>
      <x:c r="B207" s="64"/>
      <x:c r="C207" s="68" t="str">
        <x:f>IF(B207="","",IFERROR(INDEX(Planos_Contratos!$B$4:$B$203,MATCH(B207,Planos_Contratos!$A$4:$A$203,0)),""))</x:f>
      </x:c>
      <x:c r="D207" s="68" t="str">
        <x:f>IF(B207="","",IFERROR(INDEX(Planos_Contratos!$C$4:$C$203,MATCH(B207,Planos_Contratos!$A$4:$A$203,0)),""))</x:f>
      </x:c>
      <x:c r="E207" s="72"/>
      <x:c r="F207" s="104"/>
      <x:c r="G207" s="64"/>
      <x:c r="H207" s="64"/>
      <x:c r="I207" s="92" t="str">
        <x:f>IF(B207="","",IFERROR(INDEX(Planos_Contratos!$G$4:$G$203,MATCH(B207,Planos_Contratos!$A$4:$A$203,0)),""))</x:f>
      </x:c>
    </x:row>
    <x:row r="208" ht="20" customHeight="1">
      <x:c r="A208" s="68" t="str">
        <x:f t="shared" si="3"/>
      </x:c>
      <x:c r="B208" s="64"/>
      <x:c r="C208" s="68" t="str">
        <x:f>IF(B208="","",IFERROR(INDEX(Planos_Contratos!$B$4:$B$203,MATCH(B208,Planos_Contratos!$A$4:$A$203,0)),""))</x:f>
      </x:c>
      <x:c r="D208" s="68" t="str">
        <x:f>IF(B208="","",IFERROR(INDEX(Planos_Contratos!$C$4:$C$203,MATCH(B208,Planos_Contratos!$A$4:$A$203,0)),""))</x:f>
      </x:c>
      <x:c r="E208" s="72"/>
      <x:c r="F208" s="104"/>
      <x:c r="G208" s="64"/>
      <x:c r="H208" s="64"/>
      <x:c r="I208" s="92" t="str">
        <x:f>IF(B208="","",IFERROR(INDEX(Planos_Contratos!$G$4:$G$203,MATCH(B208,Planos_Contratos!$A$4:$A$203,0)),""))</x:f>
      </x:c>
    </x:row>
    <x:row r="209" ht="20" customHeight="1">
      <x:c r="A209" s="68" t="str">
        <x:f t="shared" si="3"/>
      </x:c>
      <x:c r="B209" s="64"/>
      <x:c r="C209" s="68" t="str">
        <x:f>IF(B209="","",IFERROR(INDEX(Planos_Contratos!$B$4:$B$203,MATCH(B209,Planos_Contratos!$A$4:$A$203,0)),""))</x:f>
      </x:c>
      <x:c r="D209" s="68" t="str">
        <x:f>IF(B209="","",IFERROR(INDEX(Planos_Contratos!$C$4:$C$203,MATCH(B209,Planos_Contratos!$A$4:$A$203,0)),""))</x:f>
      </x:c>
      <x:c r="E209" s="72"/>
      <x:c r="F209" s="104"/>
      <x:c r="G209" s="64"/>
      <x:c r="H209" s="64"/>
      <x:c r="I209" s="92" t="str">
        <x:f>IF(B209="","",IFERROR(INDEX(Planos_Contratos!$G$4:$G$203,MATCH(B209,Planos_Contratos!$A$4:$A$203,0)),""))</x:f>
      </x:c>
    </x:row>
    <x:row r="210" ht="20" customHeight="1">
      <x:c r="A210" s="68" t="str">
        <x:f t="shared" si="3"/>
      </x:c>
      <x:c r="B210" s="64"/>
      <x:c r="C210" s="68" t="str">
        <x:f>IF(B210="","",IFERROR(INDEX(Planos_Contratos!$B$4:$B$203,MATCH(B210,Planos_Contratos!$A$4:$A$203,0)),""))</x:f>
      </x:c>
      <x:c r="D210" s="68" t="str">
        <x:f>IF(B210="","",IFERROR(INDEX(Planos_Contratos!$C$4:$C$203,MATCH(B210,Planos_Contratos!$A$4:$A$203,0)),""))</x:f>
      </x:c>
      <x:c r="E210" s="72"/>
      <x:c r="F210" s="104"/>
      <x:c r="G210" s="64"/>
      <x:c r="H210" s="64"/>
      <x:c r="I210" s="92" t="str">
        <x:f>IF(B210="","",IFERROR(INDEX(Planos_Contratos!$G$4:$G$203,MATCH(B210,Planos_Contratos!$A$4:$A$203,0)),""))</x:f>
      </x:c>
    </x:row>
    <x:row r="211" ht="20" customHeight="1">
      <x:c r="A211" s="68" t="str">
        <x:f t="shared" si="3"/>
      </x:c>
      <x:c r="B211" s="64"/>
      <x:c r="C211" s="68" t="str">
        <x:f>IF(B211="","",IFERROR(INDEX(Planos_Contratos!$B$4:$B$203,MATCH(B211,Planos_Contratos!$A$4:$A$203,0)),""))</x:f>
      </x:c>
      <x:c r="D211" s="68" t="str">
        <x:f>IF(B211="","",IFERROR(INDEX(Planos_Contratos!$C$4:$C$203,MATCH(B211,Planos_Contratos!$A$4:$A$203,0)),""))</x:f>
      </x:c>
      <x:c r="E211" s="72"/>
      <x:c r="F211" s="104"/>
      <x:c r="G211" s="64"/>
      <x:c r="H211" s="64"/>
      <x:c r="I211" s="92" t="str">
        <x:f>IF(B211="","",IFERROR(INDEX(Planos_Contratos!$G$4:$G$203,MATCH(B211,Planos_Contratos!$A$4:$A$203,0)),""))</x:f>
      </x:c>
    </x:row>
    <x:row r="212" ht="20" customHeight="1">
      <x:c r="A212" s="68" t="str">
        <x:f t="shared" si="3"/>
      </x:c>
      <x:c r="B212" s="64"/>
      <x:c r="C212" s="68" t="str">
        <x:f>IF(B212="","",IFERROR(INDEX(Planos_Contratos!$B$4:$B$203,MATCH(B212,Planos_Contratos!$A$4:$A$203,0)),""))</x:f>
      </x:c>
      <x:c r="D212" s="68" t="str">
        <x:f>IF(B212="","",IFERROR(INDEX(Planos_Contratos!$C$4:$C$203,MATCH(B212,Planos_Contratos!$A$4:$A$203,0)),""))</x:f>
      </x:c>
      <x:c r="E212" s="72"/>
      <x:c r="F212" s="104"/>
      <x:c r="G212" s="64"/>
      <x:c r="H212" s="64"/>
      <x:c r="I212" s="92" t="str">
        <x:f>IF(B212="","",IFERROR(INDEX(Planos_Contratos!$G$4:$G$203,MATCH(B212,Planos_Contratos!$A$4:$A$203,0)),""))</x:f>
      </x:c>
    </x:row>
    <x:row r="213" ht="20" customHeight="1">
      <x:c r="A213" s="68" t="str">
        <x:f t="shared" si="3"/>
      </x:c>
      <x:c r="B213" s="64"/>
      <x:c r="C213" s="68" t="str">
        <x:f>IF(B213="","",IFERROR(INDEX(Planos_Contratos!$B$4:$B$203,MATCH(B213,Planos_Contratos!$A$4:$A$203,0)),""))</x:f>
      </x:c>
      <x:c r="D213" s="68" t="str">
        <x:f>IF(B213="","",IFERROR(INDEX(Planos_Contratos!$C$4:$C$203,MATCH(B213,Planos_Contratos!$A$4:$A$203,0)),""))</x:f>
      </x:c>
      <x:c r="E213" s="72"/>
      <x:c r="F213" s="104"/>
      <x:c r="G213" s="64"/>
      <x:c r="H213" s="64"/>
      <x:c r="I213" s="92" t="str">
        <x:f>IF(B213="","",IFERROR(INDEX(Planos_Contratos!$G$4:$G$203,MATCH(B213,Planos_Contratos!$A$4:$A$203,0)),""))</x:f>
      </x:c>
    </x:row>
    <x:row r="214" ht="20" customHeight="1">
      <x:c r="A214" s="68" t="str">
        <x:f t="shared" si="3"/>
      </x:c>
      <x:c r="B214" s="64"/>
      <x:c r="C214" s="68" t="str">
        <x:f>IF(B214="","",IFERROR(INDEX(Planos_Contratos!$B$4:$B$203,MATCH(B214,Planos_Contratos!$A$4:$A$203,0)),""))</x:f>
      </x:c>
      <x:c r="D214" s="68" t="str">
        <x:f>IF(B214="","",IFERROR(INDEX(Planos_Contratos!$C$4:$C$203,MATCH(B214,Planos_Contratos!$A$4:$A$203,0)),""))</x:f>
      </x:c>
      <x:c r="E214" s="72"/>
      <x:c r="F214" s="104"/>
      <x:c r="G214" s="64"/>
      <x:c r="H214" s="64"/>
      <x:c r="I214" s="92" t="str">
        <x:f>IF(B214="","",IFERROR(INDEX(Planos_Contratos!$G$4:$G$203,MATCH(B214,Planos_Contratos!$A$4:$A$203,0)),""))</x:f>
      </x:c>
    </x:row>
    <x:row r="215" ht="20" customHeight="1">
      <x:c r="A215" s="68" t="str">
        <x:f t="shared" si="3"/>
      </x:c>
      <x:c r="B215" s="64"/>
      <x:c r="C215" s="68" t="str">
        <x:f>IF(B215="","",IFERROR(INDEX(Planos_Contratos!$B$4:$B$203,MATCH(B215,Planos_Contratos!$A$4:$A$203,0)),""))</x:f>
      </x:c>
      <x:c r="D215" s="68" t="str">
        <x:f>IF(B215="","",IFERROR(INDEX(Planos_Contratos!$C$4:$C$203,MATCH(B215,Planos_Contratos!$A$4:$A$203,0)),""))</x:f>
      </x:c>
      <x:c r="E215" s="72"/>
      <x:c r="F215" s="104"/>
      <x:c r="G215" s="64"/>
      <x:c r="H215" s="64"/>
      <x:c r="I215" s="92" t="str">
        <x:f>IF(B215="","",IFERROR(INDEX(Planos_Contratos!$G$4:$G$203,MATCH(B215,Planos_Contratos!$A$4:$A$203,0)),""))</x:f>
      </x:c>
    </x:row>
    <x:row r="216" ht="20" customHeight="1">
      <x:c r="A216" s="68" t="str">
        <x:f t="shared" si="3"/>
      </x:c>
      <x:c r="B216" s="64"/>
      <x:c r="C216" s="68" t="str">
        <x:f>IF(B216="","",IFERROR(INDEX(Planos_Contratos!$B$4:$B$203,MATCH(B216,Planos_Contratos!$A$4:$A$203,0)),""))</x:f>
      </x:c>
      <x:c r="D216" s="68" t="str">
        <x:f>IF(B216="","",IFERROR(INDEX(Planos_Contratos!$C$4:$C$203,MATCH(B216,Planos_Contratos!$A$4:$A$203,0)),""))</x:f>
      </x:c>
      <x:c r="E216" s="72"/>
      <x:c r="F216" s="104"/>
      <x:c r="G216" s="64"/>
      <x:c r="H216" s="64"/>
      <x:c r="I216" s="92" t="str">
        <x:f>IF(B216="","",IFERROR(INDEX(Planos_Contratos!$G$4:$G$203,MATCH(B216,Planos_Contratos!$A$4:$A$203,0)),""))</x:f>
      </x:c>
    </x:row>
    <x:row r="217" ht="20" customHeight="1">
      <x:c r="A217" s="68" t="str">
        <x:f t="shared" si="3"/>
      </x:c>
      <x:c r="B217" s="64"/>
      <x:c r="C217" s="68" t="str">
        <x:f>IF(B217="","",IFERROR(INDEX(Planos_Contratos!$B$4:$B$203,MATCH(B217,Planos_Contratos!$A$4:$A$203,0)),""))</x:f>
      </x:c>
      <x:c r="D217" s="68" t="str">
        <x:f>IF(B217="","",IFERROR(INDEX(Planos_Contratos!$C$4:$C$203,MATCH(B217,Planos_Contratos!$A$4:$A$203,0)),""))</x:f>
      </x:c>
      <x:c r="E217" s="72"/>
      <x:c r="F217" s="104"/>
      <x:c r="G217" s="64"/>
      <x:c r="H217" s="64"/>
      <x:c r="I217" s="92" t="str">
        <x:f>IF(B217="","",IFERROR(INDEX(Planos_Contratos!$G$4:$G$203,MATCH(B217,Planos_Contratos!$A$4:$A$203,0)),""))</x:f>
      </x:c>
    </x:row>
    <x:row r="218" ht="20" customHeight="1">
      <x:c r="A218" s="68" t="str">
        <x:f t="shared" si="3"/>
      </x:c>
      <x:c r="B218" s="64"/>
      <x:c r="C218" s="68" t="str">
        <x:f>IF(B218="","",IFERROR(INDEX(Planos_Contratos!$B$4:$B$203,MATCH(B218,Planos_Contratos!$A$4:$A$203,0)),""))</x:f>
      </x:c>
      <x:c r="D218" s="68" t="str">
        <x:f>IF(B218="","",IFERROR(INDEX(Planos_Contratos!$C$4:$C$203,MATCH(B218,Planos_Contratos!$A$4:$A$203,0)),""))</x:f>
      </x:c>
      <x:c r="E218" s="72"/>
      <x:c r="F218" s="104"/>
      <x:c r="G218" s="64"/>
      <x:c r="H218" s="64"/>
      <x:c r="I218" s="92" t="str">
        <x:f>IF(B218="","",IFERROR(INDEX(Planos_Contratos!$G$4:$G$203,MATCH(B218,Planos_Contratos!$A$4:$A$203,0)),""))</x:f>
      </x:c>
    </x:row>
    <x:row r="219" ht="20" customHeight="1">
      <x:c r="A219" s="68" t="str">
        <x:f t="shared" si="3"/>
      </x:c>
      <x:c r="B219" s="64"/>
      <x:c r="C219" s="68" t="str">
        <x:f>IF(B219="","",IFERROR(INDEX(Planos_Contratos!$B$4:$B$203,MATCH(B219,Planos_Contratos!$A$4:$A$203,0)),""))</x:f>
      </x:c>
      <x:c r="D219" s="68" t="str">
        <x:f>IF(B219="","",IFERROR(INDEX(Planos_Contratos!$C$4:$C$203,MATCH(B219,Planos_Contratos!$A$4:$A$203,0)),""))</x:f>
      </x:c>
      <x:c r="E219" s="72"/>
      <x:c r="F219" s="104"/>
      <x:c r="G219" s="64"/>
      <x:c r="H219" s="64"/>
      <x:c r="I219" s="92" t="str">
        <x:f>IF(B219="","",IFERROR(INDEX(Planos_Contratos!$G$4:$G$203,MATCH(B219,Planos_Contratos!$A$4:$A$203,0)),""))</x:f>
      </x:c>
    </x:row>
    <x:row r="220" ht="20" customHeight="1">
      <x:c r="A220" s="68" t="str">
        <x:f t="shared" si="3"/>
      </x:c>
      <x:c r="B220" s="64"/>
      <x:c r="C220" s="68" t="str">
        <x:f>IF(B220="","",IFERROR(INDEX(Planos_Contratos!$B$4:$B$203,MATCH(B220,Planos_Contratos!$A$4:$A$203,0)),""))</x:f>
      </x:c>
      <x:c r="D220" s="68" t="str">
        <x:f>IF(B220="","",IFERROR(INDEX(Planos_Contratos!$C$4:$C$203,MATCH(B220,Planos_Contratos!$A$4:$A$203,0)),""))</x:f>
      </x:c>
      <x:c r="E220" s="72"/>
      <x:c r="F220" s="104"/>
      <x:c r="G220" s="64"/>
      <x:c r="H220" s="64"/>
      <x:c r="I220" s="92" t="str">
        <x:f>IF(B220="","",IFERROR(INDEX(Planos_Contratos!$G$4:$G$203,MATCH(B220,Planos_Contratos!$A$4:$A$203,0)),""))</x:f>
      </x:c>
    </x:row>
    <x:row r="221" ht="20" customHeight="1">
      <x:c r="A221" s="68" t="str">
        <x:f t="shared" si="3"/>
      </x:c>
      <x:c r="B221" s="64"/>
      <x:c r="C221" s="68" t="str">
        <x:f>IF(B221="","",IFERROR(INDEX(Planos_Contratos!$B$4:$B$203,MATCH(B221,Planos_Contratos!$A$4:$A$203,0)),""))</x:f>
      </x:c>
      <x:c r="D221" s="68" t="str">
        <x:f>IF(B221="","",IFERROR(INDEX(Planos_Contratos!$C$4:$C$203,MATCH(B221,Planos_Contratos!$A$4:$A$203,0)),""))</x:f>
      </x:c>
      <x:c r="E221" s="72"/>
      <x:c r="F221" s="104"/>
      <x:c r="G221" s="64"/>
      <x:c r="H221" s="64"/>
      <x:c r="I221" s="92" t="str">
        <x:f>IF(B221="","",IFERROR(INDEX(Planos_Contratos!$G$4:$G$203,MATCH(B221,Planos_Contratos!$A$4:$A$203,0)),""))</x:f>
      </x:c>
    </x:row>
    <x:row r="222" ht="20" customHeight="1">
      <x:c r="A222" s="68" t="str">
        <x:f t="shared" si="3"/>
      </x:c>
      <x:c r="B222" s="64"/>
      <x:c r="C222" s="68" t="str">
        <x:f>IF(B222="","",IFERROR(INDEX(Planos_Contratos!$B$4:$B$203,MATCH(B222,Planos_Contratos!$A$4:$A$203,0)),""))</x:f>
      </x:c>
      <x:c r="D222" s="68" t="str">
        <x:f>IF(B222="","",IFERROR(INDEX(Planos_Contratos!$C$4:$C$203,MATCH(B222,Planos_Contratos!$A$4:$A$203,0)),""))</x:f>
      </x:c>
      <x:c r="E222" s="72"/>
      <x:c r="F222" s="104"/>
      <x:c r="G222" s="64"/>
      <x:c r="H222" s="64"/>
      <x:c r="I222" s="92" t="str">
        <x:f>IF(B222="","",IFERROR(INDEX(Planos_Contratos!$G$4:$G$203,MATCH(B222,Planos_Contratos!$A$4:$A$203,0)),""))</x:f>
      </x:c>
    </x:row>
    <x:row r="223" ht="20" customHeight="1">
      <x:c r="A223" s="68" t="str">
        <x:f t="shared" si="3"/>
      </x:c>
      <x:c r="B223" s="64"/>
      <x:c r="C223" s="68" t="str">
        <x:f>IF(B223="","",IFERROR(INDEX(Planos_Contratos!$B$4:$B$203,MATCH(B223,Planos_Contratos!$A$4:$A$203,0)),""))</x:f>
      </x:c>
      <x:c r="D223" s="68" t="str">
        <x:f>IF(B223="","",IFERROR(INDEX(Planos_Contratos!$C$4:$C$203,MATCH(B223,Planos_Contratos!$A$4:$A$203,0)),""))</x:f>
      </x:c>
      <x:c r="E223" s="72"/>
      <x:c r="F223" s="104"/>
      <x:c r="G223" s="64"/>
      <x:c r="H223" s="64"/>
      <x:c r="I223" s="92" t="str">
        <x:f>IF(B223="","",IFERROR(INDEX(Planos_Contratos!$G$4:$G$203,MATCH(B223,Planos_Contratos!$A$4:$A$203,0)),""))</x:f>
      </x:c>
    </x:row>
    <x:row r="224" ht="20" customHeight="1">
      <x:c r="A224" s="68" t="str">
        <x:f t="shared" si="3"/>
      </x:c>
      <x:c r="B224" s="64"/>
      <x:c r="C224" s="68" t="str">
        <x:f>IF(B224="","",IFERROR(INDEX(Planos_Contratos!$B$4:$B$203,MATCH(B224,Planos_Contratos!$A$4:$A$203,0)),""))</x:f>
      </x:c>
      <x:c r="D224" s="68" t="str">
        <x:f>IF(B224="","",IFERROR(INDEX(Planos_Contratos!$C$4:$C$203,MATCH(B224,Planos_Contratos!$A$4:$A$203,0)),""))</x:f>
      </x:c>
      <x:c r="E224" s="72"/>
      <x:c r="F224" s="104"/>
      <x:c r="G224" s="64"/>
      <x:c r="H224" s="64"/>
      <x:c r="I224" s="92" t="str">
        <x:f>IF(B224="","",IFERROR(INDEX(Planos_Contratos!$G$4:$G$203,MATCH(B224,Planos_Contratos!$A$4:$A$203,0)),""))</x:f>
      </x:c>
    </x:row>
    <x:row r="225" ht="20" customHeight="1">
      <x:c r="A225" s="68" t="str">
        <x:f t="shared" si="3"/>
      </x:c>
      <x:c r="B225" s="64"/>
      <x:c r="C225" s="68" t="str">
        <x:f>IF(B225="","",IFERROR(INDEX(Planos_Contratos!$B$4:$B$203,MATCH(B225,Planos_Contratos!$A$4:$A$203,0)),""))</x:f>
      </x:c>
      <x:c r="D225" s="68" t="str">
        <x:f>IF(B225="","",IFERROR(INDEX(Planos_Contratos!$C$4:$C$203,MATCH(B225,Planos_Contratos!$A$4:$A$203,0)),""))</x:f>
      </x:c>
      <x:c r="E225" s="72"/>
      <x:c r="F225" s="104"/>
      <x:c r="G225" s="64"/>
      <x:c r="H225" s="64"/>
      <x:c r="I225" s="92" t="str">
        <x:f>IF(B225="","",IFERROR(INDEX(Planos_Contratos!$G$4:$G$203,MATCH(B225,Planos_Contratos!$A$4:$A$203,0)),""))</x:f>
      </x:c>
    </x:row>
    <x:row r="226" ht="20" customHeight="1">
      <x:c r="A226" s="68" t="str">
        <x:f t="shared" si="3"/>
      </x:c>
      <x:c r="B226" s="64"/>
      <x:c r="C226" s="68" t="str">
        <x:f>IF(B226="","",IFERROR(INDEX(Planos_Contratos!$B$4:$B$203,MATCH(B226,Planos_Contratos!$A$4:$A$203,0)),""))</x:f>
      </x:c>
      <x:c r="D226" s="68" t="str">
        <x:f>IF(B226="","",IFERROR(INDEX(Planos_Contratos!$C$4:$C$203,MATCH(B226,Planos_Contratos!$A$4:$A$203,0)),""))</x:f>
      </x:c>
      <x:c r="E226" s="72"/>
      <x:c r="F226" s="104"/>
      <x:c r="G226" s="64"/>
      <x:c r="H226" s="64"/>
      <x:c r="I226" s="92" t="str">
        <x:f>IF(B226="","",IFERROR(INDEX(Planos_Contratos!$G$4:$G$203,MATCH(B226,Planos_Contratos!$A$4:$A$203,0)),""))</x:f>
      </x:c>
    </x:row>
    <x:row r="227" ht="20" customHeight="1">
      <x:c r="A227" s="68" t="str">
        <x:f t="shared" si="3"/>
      </x:c>
      <x:c r="B227" s="64"/>
      <x:c r="C227" s="68" t="str">
        <x:f>IF(B227="","",IFERROR(INDEX(Planos_Contratos!$B$4:$B$203,MATCH(B227,Planos_Contratos!$A$4:$A$203,0)),""))</x:f>
      </x:c>
      <x:c r="D227" s="68" t="str">
        <x:f>IF(B227="","",IFERROR(INDEX(Planos_Contratos!$C$4:$C$203,MATCH(B227,Planos_Contratos!$A$4:$A$203,0)),""))</x:f>
      </x:c>
      <x:c r="E227" s="72"/>
      <x:c r="F227" s="104"/>
      <x:c r="G227" s="64"/>
      <x:c r="H227" s="64"/>
      <x:c r="I227" s="92" t="str">
        <x:f>IF(B227="","",IFERROR(INDEX(Planos_Contratos!$G$4:$G$203,MATCH(B227,Planos_Contratos!$A$4:$A$203,0)),""))</x:f>
      </x:c>
    </x:row>
    <x:row r="228" ht="20" customHeight="1">
      <x:c r="A228" s="68" t="str">
        <x:f t="shared" si="3"/>
      </x:c>
      <x:c r="B228" s="64"/>
      <x:c r="C228" s="68" t="str">
        <x:f>IF(B228="","",IFERROR(INDEX(Planos_Contratos!$B$4:$B$203,MATCH(B228,Planos_Contratos!$A$4:$A$203,0)),""))</x:f>
      </x:c>
      <x:c r="D228" s="68" t="str">
        <x:f>IF(B228="","",IFERROR(INDEX(Planos_Contratos!$C$4:$C$203,MATCH(B228,Planos_Contratos!$A$4:$A$203,0)),""))</x:f>
      </x:c>
      <x:c r="E228" s="72"/>
      <x:c r="F228" s="104"/>
      <x:c r="G228" s="64"/>
      <x:c r="H228" s="64"/>
      <x:c r="I228" s="92" t="str">
        <x:f>IF(B228="","",IFERROR(INDEX(Planos_Contratos!$G$4:$G$203,MATCH(B228,Planos_Contratos!$A$4:$A$203,0)),""))</x:f>
      </x:c>
    </x:row>
    <x:row r="229" ht="20" customHeight="1">
      <x:c r="A229" s="68" t="str">
        <x:f t="shared" si="3"/>
      </x:c>
      <x:c r="B229" s="64"/>
      <x:c r="C229" s="68" t="str">
        <x:f>IF(B229="","",IFERROR(INDEX(Planos_Contratos!$B$4:$B$203,MATCH(B229,Planos_Contratos!$A$4:$A$203,0)),""))</x:f>
      </x:c>
      <x:c r="D229" s="68" t="str">
        <x:f>IF(B229="","",IFERROR(INDEX(Planos_Contratos!$C$4:$C$203,MATCH(B229,Planos_Contratos!$A$4:$A$203,0)),""))</x:f>
      </x:c>
      <x:c r="E229" s="72"/>
      <x:c r="F229" s="104"/>
      <x:c r="G229" s="64"/>
      <x:c r="H229" s="64"/>
      <x:c r="I229" s="92" t="str">
        <x:f>IF(B229="","",IFERROR(INDEX(Planos_Contratos!$G$4:$G$203,MATCH(B229,Planos_Contratos!$A$4:$A$203,0)),""))</x:f>
      </x:c>
    </x:row>
    <x:row r="230" ht="20" customHeight="1">
      <x:c r="A230" s="68" t="str">
        <x:f t="shared" si="3"/>
      </x:c>
      <x:c r="B230" s="64"/>
      <x:c r="C230" s="68" t="str">
        <x:f>IF(B230="","",IFERROR(INDEX(Planos_Contratos!$B$4:$B$203,MATCH(B230,Planos_Contratos!$A$4:$A$203,0)),""))</x:f>
      </x:c>
      <x:c r="D230" s="68" t="str">
        <x:f>IF(B230="","",IFERROR(INDEX(Planos_Contratos!$C$4:$C$203,MATCH(B230,Planos_Contratos!$A$4:$A$203,0)),""))</x:f>
      </x:c>
      <x:c r="E230" s="72"/>
      <x:c r="F230" s="104"/>
      <x:c r="G230" s="64"/>
      <x:c r="H230" s="64"/>
      <x:c r="I230" s="92" t="str">
        <x:f>IF(B230="","",IFERROR(INDEX(Planos_Contratos!$G$4:$G$203,MATCH(B230,Planos_Contratos!$A$4:$A$203,0)),""))</x:f>
      </x:c>
    </x:row>
    <x:row r="231" ht="20" customHeight="1">
      <x:c r="A231" s="68" t="str">
        <x:f t="shared" si="3"/>
      </x:c>
      <x:c r="B231" s="64"/>
      <x:c r="C231" s="68" t="str">
        <x:f>IF(B231="","",IFERROR(INDEX(Planos_Contratos!$B$4:$B$203,MATCH(B231,Planos_Contratos!$A$4:$A$203,0)),""))</x:f>
      </x:c>
      <x:c r="D231" s="68" t="str">
        <x:f>IF(B231="","",IFERROR(INDEX(Planos_Contratos!$C$4:$C$203,MATCH(B231,Planos_Contratos!$A$4:$A$203,0)),""))</x:f>
      </x:c>
      <x:c r="E231" s="72"/>
      <x:c r="F231" s="104"/>
      <x:c r="G231" s="64"/>
      <x:c r="H231" s="64"/>
      <x:c r="I231" s="92" t="str">
        <x:f>IF(B231="","",IFERROR(INDEX(Planos_Contratos!$G$4:$G$203,MATCH(B231,Planos_Contratos!$A$4:$A$203,0)),""))</x:f>
      </x:c>
    </x:row>
    <x:row r="232" ht="20" customHeight="1">
      <x:c r="A232" s="68" t="str">
        <x:f t="shared" si="3"/>
      </x:c>
      <x:c r="B232" s="64"/>
      <x:c r="C232" s="68" t="str">
        <x:f>IF(B232="","",IFERROR(INDEX(Planos_Contratos!$B$4:$B$203,MATCH(B232,Planos_Contratos!$A$4:$A$203,0)),""))</x:f>
      </x:c>
      <x:c r="D232" s="68" t="str">
        <x:f>IF(B232="","",IFERROR(INDEX(Planos_Contratos!$C$4:$C$203,MATCH(B232,Planos_Contratos!$A$4:$A$203,0)),""))</x:f>
      </x:c>
      <x:c r="E232" s="72"/>
      <x:c r="F232" s="104"/>
      <x:c r="G232" s="64"/>
      <x:c r="H232" s="64"/>
      <x:c r="I232" s="92" t="str">
        <x:f>IF(B232="","",IFERROR(INDEX(Planos_Contratos!$G$4:$G$203,MATCH(B232,Planos_Contratos!$A$4:$A$203,0)),""))</x:f>
      </x:c>
    </x:row>
    <x:row r="233" ht="20" customHeight="1">
      <x:c r="A233" s="68" t="str">
        <x:f t="shared" si="3"/>
      </x:c>
      <x:c r="B233" s="64"/>
      <x:c r="C233" s="68" t="str">
        <x:f>IF(B233="","",IFERROR(INDEX(Planos_Contratos!$B$4:$B$203,MATCH(B233,Planos_Contratos!$A$4:$A$203,0)),""))</x:f>
      </x:c>
      <x:c r="D233" s="68" t="str">
        <x:f>IF(B233="","",IFERROR(INDEX(Planos_Contratos!$C$4:$C$203,MATCH(B233,Planos_Contratos!$A$4:$A$203,0)),""))</x:f>
      </x:c>
      <x:c r="E233" s="72"/>
      <x:c r="F233" s="104"/>
      <x:c r="G233" s="64"/>
      <x:c r="H233" s="64"/>
      <x:c r="I233" s="92" t="str">
        <x:f>IF(B233="","",IFERROR(INDEX(Planos_Contratos!$G$4:$G$203,MATCH(B233,Planos_Contratos!$A$4:$A$203,0)),""))</x:f>
      </x:c>
    </x:row>
    <x:row r="234" ht="20" customHeight="1">
      <x:c r="A234" s="68" t="str">
        <x:f t="shared" si="3"/>
      </x:c>
      <x:c r="B234" s="64"/>
      <x:c r="C234" s="68" t="str">
        <x:f>IF(B234="","",IFERROR(INDEX(Planos_Contratos!$B$4:$B$203,MATCH(B234,Planos_Contratos!$A$4:$A$203,0)),""))</x:f>
      </x:c>
      <x:c r="D234" s="68" t="str">
        <x:f>IF(B234="","",IFERROR(INDEX(Planos_Contratos!$C$4:$C$203,MATCH(B234,Planos_Contratos!$A$4:$A$203,0)),""))</x:f>
      </x:c>
      <x:c r="E234" s="72"/>
      <x:c r="F234" s="104"/>
      <x:c r="G234" s="64"/>
      <x:c r="H234" s="64"/>
      <x:c r="I234" s="92" t="str">
        <x:f>IF(B234="","",IFERROR(INDEX(Planos_Contratos!$G$4:$G$203,MATCH(B234,Planos_Contratos!$A$4:$A$203,0)),""))</x:f>
      </x:c>
    </x:row>
    <x:row r="235" ht="20" customHeight="1">
      <x:c r="A235" s="68" t="str">
        <x:f t="shared" si="3"/>
      </x:c>
      <x:c r="B235" s="64"/>
      <x:c r="C235" s="68" t="str">
        <x:f>IF(B235="","",IFERROR(INDEX(Planos_Contratos!$B$4:$B$203,MATCH(B235,Planos_Contratos!$A$4:$A$203,0)),""))</x:f>
      </x:c>
      <x:c r="D235" s="68" t="str">
        <x:f>IF(B235="","",IFERROR(INDEX(Planos_Contratos!$C$4:$C$203,MATCH(B235,Planos_Contratos!$A$4:$A$203,0)),""))</x:f>
      </x:c>
      <x:c r="E235" s="72"/>
      <x:c r="F235" s="104"/>
      <x:c r="G235" s="64"/>
      <x:c r="H235" s="64"/>
      <x:c r="I235" s="92" t="str">
        <x:f>IF(B235="","",IFERROR(INDEX(Planos_Contratos!$G$4:$G$203,MATCH(B235,Planos_Contratos!$A$4:$A$203,0)),""))</x:f>
      </x:c>
    </x:row>
    <x:row r="236" ht="20" customHeight="1">
      <x:c r="A236" s="68" t="str">
        <x:f t="shared" si="3"/>
      </x:c>
      <x:c r="B236" s="64"/>
      <x:c r="C236" s="68" t="str">
        <x:f>IF(B236="","",IFERROR(INDEX(Planos_Contratos!$B$4:$B$203,MATCH(B236,Planos_Contratos!$A$4:$A$203,0)),""))</x:f>
      </x:c>
      <x:c r="D236" s="68" t="str">
        <x:f>IF(B236="","",IFERROR(INDEX(Planos_Contratos!$C$4:$C$203,MATCH(B236,Planos_Contratos!$A$4:$A$203,0)),""))</x:f>
      </x:c>
      <x:c r="E236" s="72"/>
      <x:c r="F236" s="104"/>
      <x:c r="G236" s="64"/>
      <x:c r="H236" s="64"/>
      <x:c r="I236" s="92" t="str">
        <x:f>IF(B236="","",IFERROR(INDEX(Planos_Contratos!$G$4:$G$203,MATCH(B236,Planos_Contratos!$A$4:$A$203,0)),""))</x:f>
      </x:c>
    </x:row>
    <x:row r="237" ht="20" customHeight="1">
      <x:c r="A237" s="68" t="str">
        <x:f t="shared" si="3"/>
      </x:c>
      <x:c r="B237" s="64"/>
      <x:c r="C237" s="68" t="str">
        <x:f>IF(B237="","",IFERROR(INDEX(Planos_Contratos!$B$4:$B$203,MATCH(B237,Planos_Contratos!$A$4:$A$203,0)),""))</x:f>
      </x:c>
      <x:c r="D237" s="68" t="str">
        <x:f>IF(B237="","",IFERROR(INDEX(Planos_Contratos!$C$4:$C$203,MATCH(B237,Planos_Contratos!$A$4:$A$203,0)),""))</x:f>
      </x:c>
      <x:c r="E237" s="72"/>
      <x:c r="F237" s="104"/>
      <x:c r="G237" s="64"/>
      <x:c r="H237" s="64"/>
      <x:c r="I237" s="92" t="str">
        <x:f>IF(B237="","",IFERROR(INDEX(Planos_Contratos!$G$4:$G$203,MATCH(B237,Planos_Contratos!$A$4:$A$203,0)),""))</x:f>
      </x:c>
    </x:row>
    <x:row r="238" ht="20" customHeight="1">
      <x:c r="A238" s="68" t="str">
        <x:f t="shared" si="3"/>
      </x:c>
      <x:c r="B238" s="64"/>
      <x:c r="C238" s="68" t="str">
        <x:f>IF(B238="","",IFERROR(INDEX(Planos_Contratos!$B$4:$B$203,MATCH(B238,Planos_Contratos!$A$4:$A$203,0)),""))</x:f>
      </x:c>
      <x:c r="D238" s="68" t="str">
        <x:f>IF(B238="","",IFERROR(INDEX(Planos_Contratos!$C$4:$C$203,MATCH(B238,Planos_Contratos!$A$4:$A$203,0)),""))</x:f>
      </x:c>
      <x:c r="E238" s="72"/>
      <x:c r="F238" s="104"/>
      <x:c r="G238" s="64"/>
      <x:c r="H238" s="64"/>
      <x:c r="I238" s="92" t="str">
        <x:f>IF(B238="","",IFERROR(INDEX(Planos_Contratos!$G$4:$G$203,MATCH(B238,Planos_Contratos!$A$4:$A$203,0)),""))</x:f>
      </x:c>
    </x:row>
    <x:row r="239" ht="20" customHeight="1">
      <x:c r="A239" s="68" t="str">
        <x:f t="shared" si="3"/>
      </x:c>
      <x:c r="B239" s="64"/>
      <x:c r="C239" s="68" t="str">
        <x:f>IF(B239="","",IFERROR(INDEX(Planos_Contratos!$B$4:$B$203,MATCH(B239,Planos_Contratos!$A$4:$A$203,0)),""))</x:f>
      </x:c>
      <x:c r="D239" s="68" t="str">
        <x:f>IF(B239="","",IFERROR(INDEX(Planos_Contratos!$C$4:$C$203,MATCH(B239,Planos_Contratos!$A$4:$A$203,0)),""))</x:f>
      </x:c>
      <x:c r="E239" s="72"/>
      <x:c r="F239" s="104"/>
      <x:c r="G239" s="64"/>
      <x:c r="H239" s="64"/>
      <x:c r="I239" s="92" t="str">
        <x:f>IF(B239="","",IFERROR(INDEX(Planos_Contratos!$G$4:$G$203,MATCH(B239,Planos_Contratos!$A$4:$A$203,0)),""))</x:f>
      </x:c>
    </x:row>
    <x:row r="240" ht="20" customHeight="1">
      <x:c r="A240" s="68" t="str">
        <x:f t="shared" si="3"/>
      </x:c>
      <x:c r="B240" s="64"/>
      <x:c r="C240" s="68" t="str">
        <x:f>IF(B240="","",IFERROR(INDEX(Planos_Contratos!$B$4:$B$203,MATCH(B240,Planos_Contratos!$A$4:$A$203,0)),""))</x:f>
      </x:c>
      <x:c r="D240" s="68" t="str">
        <x:f>IF(B240="","",IFERROR(INDEX(Planos_Contratos!$C$4:$C$203,MATCH(B240,Planos_Contratos!$A$4:$A$203,0)),""))</x:f>
      </x:c>
      <x:c r="E240" s="72"/>
      <x:c r="F240" s="104"/>
      <x:c r="G240" s="64"/>
      <x:c r="H240" s="64"/>
      <x:c r="I240" s="92" t="str">
        <x:f>IF(B240="","",IFERROR(INDEX(Planos_Contratos!$G$4:$G$203,MATCH(B240,Planos_Contratos!$A$4:$A$203,0)),""))</x:f>
      </x:c>
    </x:row>
    <x:row r="241" ht="20" customHeight="1">
      <x:c r="A241" s="68" t="str">
        <x:f t="shared" si="3"/>
      </x:c>
      <x:c r="B241" s="64"/>
      <x:c r="C241" s="68" t="str">
        <x:f>IF(B241="","",IFERROR(INDEX(Planos_Contratos!$B$4:$B$203,MATCH(B241,Planos_Contratos!$A$4:$A$203,0)),""))</x:f>
      </x:c>
      <x:c r="D241" s="68" t="str">
        <x:f>IF(B241="","",IFERROR(INDEX(Planos_Contratos!$C$4:$C$203,MATCH(B241,Planos_Contratos!$A$4:$A$203,0)),""))</x:f>
      </x:c>
      <x:c r="E241" s="72"/>
      <x:c r="F241" s="104"/>
      <x:c r="G241" s="64"/>
      <x:c r="H241" s="64"/>
      <x:c r="I241" s="92" t="str">
        <x:f>IF(B241="","",IFERROR(INDEX(Planos_Contratos!$G$4:$G$203,MATCH(B241,Planos_Contratos!$A$4:$A$203,0)),""))</x:f>
      </x:c>
    </x:row>
    <x:row r="242" ht="20" customHeight="1">
      <x:c r="A242" s="68" t="str">
        <x:f t="shared" si="3"/>
      </x:c>
      <x:c r="B242" s="64"/>
      <x:c r="C242" s="68" t="str">
        <x:f>IF(B242="","",IFERROR(INDEX(Planos_Contratos!$B$4:$B$203,MATCH(B242,Planos_Contratos!$A$4:$A$203,0)),""))</x:f>
      </x:c>
      <x:c r="D242" s="68" t="str">
        <x:f>IF(B242="","",IFERROR(INDEX(Planos_Contratos!$C$4:$C$203,MATCH(B242,Planos_Contratos!$A$4:$A$203,0)),""))</x:f>
      </x:c>
      <x:c r="E242" s="72"/>
      <x:c r="F242" s="104"/>
      <x:c r="G242" s="64"/>
      <x:c r="H242" s="64"/>
      <x:c r="I242" s="92" t="str">
        <x:f>IF(B242="","",IFERROR(INDEX(Planos_Contratos!$G$4:$G$203,MATCH(B242,Planos_Contratos!$A$4:$A$203,0)),""))</x:f>
      </x:c>
    </x:row>
    <x:row r="243" ht="20" customHeight="1">
      <x:c r="A243" s="68" t="str">
        <x:f t="shared" si="3"/>
      </x:c>
      <x:c r="B243" s="64"/>
      <x:c r="C243" s="68" t="str">
        <x:f>IF(B243="","",IFERROR(INDEX(Planos_Contratos!$B$4:$B$203,MATCH(B243,Planos_Contratos!$A$4:$A$203,0)),""))</x:f>
      </x:c>
      <x:c r="D243" s="68" t="str">
        <x:f>IF(B243="","",IFERROR(INDEX(Planos_Contratos!$C$4:$C$203,MATCH(B243,Planos_Contratos!$A$4:$A$203,0)),""))</x:f>
      </x:c>
      <x:c r="E243" s="72"/>
      <x:c r="F243" s="104"/>
      <x:c r="G243" s="64"/>
      <x:c r="H243" s="64"/>
      <x:c r="I243" s="92" t="str">
        <x:f>IF(B243="","",IFERROR(INDEX(Planos_Contratos!$G$4:$G$203,MATCH(B243,Planos_Contratos!$A$4:$A$203,0)),""))</x:f>
      </x:c>
    </x:row>
    <x:row r="244" ht="20" customHeight="1">
      <x:c r="A244" s="68" t="str">
        <x:f t="shared" si="3"/>
      </x:c>
      <x:c r="B244" s="64"/>
      <x:c r="C244" s="68" t="str">
        <x:f>IF(B244="","",IFERROR(INDEX(Planos_Contratos!$B$4:$B$203,MATCH(B244,Planos_Contratos!$A$4:$A$203,0)),""))</x:f>
      </x:c>
      <x:c r="D244" s="68" t="str">
        <x:f>IF(B244="","",IFERROR(INDEX(Planos_Contratos!$C$4:$C$203,MATCH(B244,Planos_Contratos!$A$4:$A$203,0)),""))</x:f>
      </x:c>
      <x:c r="E244" s="72"/>
      <x:c r="F244" s="104"/>
      <x:c r="G244" s="64"/>
      <x:c r="H244" s="64"/>
      <x:c r="I244" s="92" t="str">
        <x:f>IF(B244="","",IFERROR(INDEX(Planos_Contratos!$G$4:$G$203,MATCH(B244,Planos_Contratos!$A$4:$A$203,0)),""))</x:f>
      </x:c>
    </x:row>
    <x:row r="245" ht="20" customHeight="1">
      <x:c r="A245" s="68" t="str">
        <x:f t="shared" si="3"/>
      </x:c>
      <x:c r="B245" s="64"/>
      <x:c r="C245" s="68" t="str">
        <x:f>IF(B245="","",IFERROR(INDEX(Planos_Contratos!$B$4:$B$203,MATCH(B245,Planos_Contratos!$A$4:$A$203,0)),""))</x:f>
      </x:c>
      <x:c r="D245" s="68" t="str">
        <x:f>IF(B245="","",IFERROR(INDEX(Planos_Contratos!$C$4:$C$203,MATCH(B245,Planos_Contratos!$A$4:$A$203,0)),""))</x:f>
      </x:c>
      <x:c r="E245" s="72"/>
      <x:c r="F245" s="104"/>
      <x:c r="G245" s="64"/>
      <x:c r="H245" s="64"/>
      <x:c r="I245" s="92" t="str">
        <x:f>IF(B245="","",IFERROR(INDEX(Planos_Contratos!$G$4:$G$203,MATCH(B245,Planos_Contratos!$A$4:$A$203,0)),""))</x:f>
      </x:c>
    </x:row>
    <x:row r="246" ht="20" customHeight="1">
      <x:c r="A246" s="68" t="str">
        <x:f t="shared" si="3"/>
      </x:c>
      <x:c r="B246" s="64"/>
      <x:c r="C246" s="68" t="str">
        <x:f>IF(B246="","",IFERROR(INDEX(Planos_Contratos!$B$4:$B$203,MATCH(B246,Planos_Contratos!$A$4:$A$203,0)),""))</x:f>
      </x:c>
      <x:c r="D246" s="68" t="str">
        <x:f>IF(B246="","",IFERROR(INDEX(Planos_Contratos!$C$4:$C$203,MATCH(B246,Planos_Contratos!$A$4:$A$203,0)),""))</x:f>
      </x:c>
      <x:c r="E246" s="72"/>
      <x:c r="F246" s="104"/>
      <x:c r="G246" s="64"/>
      <x:c r="H246" s="64"/>
      <x:c r="I246" s="92" t="str">
        <x:f>IF(B246="","",IFERROR(INDEX(Planos_Contratos!$G$4:$G$203,MATCH(B246,Planos_Contratos!$A$4:$A$203,0)),""))</x:f>
      </x:c>
    </x:row>
    <x:row r="247" ht="20" customHeight="1">
      <x:c r="A247" s="68" t="str">
        <x:f t="shared" si="3"/>
      </x:c>
      <x:c r="B247" s="64"/>
      <x:c r="C247" s="68" t="str">
        <x:f>IF(B247="","",IFERROR(INDEX(Planos_Contratos!$B$4:$B$203,MATCH(B247,Planos_Contratos!$A$4:$A$203,0)),""))</x:f>
      </x:c>
      <x:c r="D247" s="68" t="str">
        <x:f>IF(B247="","",IFERROR(INDEX(Planos_Contratos!$C$4:$C$203,MATCH(B247,Planos_Contratos!$A$4:$A$203,0)),""))</x:f>
      </x:c>
      <x:c r="E247" s="72"/>
      <x:c r="F247" s="104"/>
      <x:c r="G247" s="64"/>
      <x:c r="H247" s="64"/>
      <x:c r="I247" s="92" t="str">
        <x:f>IF(B247="","",IFERROR(INDEX(Planos_Contratos!$G$4:$G$203,MATCH(B247,Planos_Contratos!$A$4:$A$203,0)),""))</x:f>
      </x:c>
    </x:row>
    <x:row r="248" ht="20" customHeight="1">
      <x:c r="A248" s="68" t="str">
        <x:f t="shared" si="3"/>
      </x:c>
      <x:c r="B248" s="64"/>
      <x:c r="C248" s="68" t="str">
        <x:f>IF(B248="","",IFERROR(INDEX(Planos_Contratos!$B$4:$B$203,MATCH(B248,Planos_Contratos!$A$4:$A$203,0)),""))</x:f>
      </x:c>
      <x:c r="D248" s="68" t="str">
        <x:f>IF(B248="","",IFERROR(INDEX(Planos_Contratos!$C$4:$C$203,MATCH(B248,Planos_Contratos!$A$4:$A$203,0)),""))</x:f>
      </x:c>
      <x:c r="E248" s="72"/>
      <x:c r="F248" s="104"/>
      <x:c r="G248" s="64"/>
      <x:c r="H248" s="64"/>
      <x:c r="I248" s="92" t="str">
        <x:f>IF(B248="","",IFERROR(INDEX(Planos_Contratos!$G$4:$G$203,MATCH(B248,Planos_Contratos!$A$4:$A$203,0)),""))</x:f>
      </x:c>
    </x:row>
    <x:row r="249" ht="20" customHeight="1">
      <x:c r="A249" s="68" t="str">
        <x:f t="shared" si="3"/>
      </x:c>
      <x:c r="B249" s="64"/>
      <x:c r="C249" s="68" t="str">
        <x:f>IF(B249="","",IFERROR(INDEX(Planos_Contratos!$B$4:$B$203,MATCH(B249,Planos_Contratos!$A$4:$A$203,0)),""))</x:f>
      </x:c>
      <x:c r="D249" s="68" t="str">
        <x:f>IF(B249="","",IFERROR(INDEX(Planos_Contratos!$C$4:$C$203,MATCH(B249,Planos_Contratos!$A$4:$A$203,0)),""))</x:f>
      </x:c>
      <x:c r="E249" s="72"/>
      <x:c r="F249" s="104"/>
      <x:c r="G249" s="64"/>
      <x:c r="H249" s="64"/>
      <x:c r="I249" s="92" t="str">
        <x:f>IF(B249="","",IFERROR(INDEX(Planos_Contratos!$G$4:$G$203,MATCH(B249,Planos_Contratos!$A$4:$A$203,0)),""))</x:f>
      </x:c>
    </x:row>
    <x:row r="250" ht="20" customHeight="1">
      <x:c r="A250" s="68" t="str">
        <x:f t="shared" si="3"/>
      </x:c>
      <x:c r="B250" s="64"/>
      <x:c r="C250" s="68" t="str">
        <x:f>IF(B250="","",IFERROR(INDEX(Planos_Contratos!$B$4:$B$203,MATCH(B250,Planos_Contratos!$A$4:$A$203,0)),""))</x:f>
      </x:c>
      <x:c r="D250" s="68" t="str">
        <x:f>IF(B250="","",IFERROR(INDEX(Planos_Contratos!$C$4:$C$203,MATCH(B250,Planos_Contratos!$A$4:$A$203,0)),""))</x:f>
      </x:c>
      <x:c r="E250" s="72"/>
      <x:c r="F250" s="104"/>
      <x:c r="G250" s="64"/>
      <x:c r="H250" s="64"/>
      <x:c r="I250" s="92" t="str">
        <x:f>IF(B250="","",IFERROR(INDEX(Planos_Contratos!$G$4:$G$203,MATCH(B250,Planos_Contratos!$A$4:$A$203,0)),""))</x:f>
      </x:c>
    </x:row>
    <x:row r="251" ht="20" customHeight="1">
      <x:c r="A251" s="68" t="str">
        <x:f t="shared" si="3"/>
      </x:c>
      <x:c r="B251" s="64"/>
      <x:c r="C251" s="68" t="str">
        <x:f>IF(B251="","",IFERROR(INDEX(Planos_Contratos!$B$4:$B$203,MATCH(B251,Planos_Contratos!$A$4:$A$203,0)),""))</x:f>
      </x:c>
      <x:c r="D251" s="68" t="str">
        <x:f>IF(B251="","",IFERROR(INDEX(Planos_Contratos!$C$4:$C$203,MATCH(B251,Planos_Contratos!$A$4:$A$203,0)),""))</x:f>
      </x:c>
      <x:c r="E251" s="72"/>
      <x:c r="F251" s="104"/>
      <x:c r="G251" s="64"/>
      <x:c r="H251" s="64"/>
      <x:c r="I251" s="92" t="str">
        <x:f>IF(B251="","",IFERROR(INDEX(Planos_Contratos!$G$4:$G$203,MATCH(B251,Planos_Contratos!$A$4:$A$203,0)),""))</x:f>
      </x:c>
    </x:row>
    <x:row r="252" ht="20" customHeight="1">
      <x:c r="A252" s="68" t="str">
        <x:f t="shared" si="3"/>
      </x:c>
      <x:c r="B252" s="64"/>
      <x:c r="C252" s="68" t="str">
        <x:f>IF(B252="","",IFERROR(INDEX(Planos_Contratos!$B$4:$B$203,MATCH(B252,Planos_Contratos!$A$4:$A$203,0)),""))</x:f>
      </x:c>
      <x:c r="D252" s="68" t="str">
        <x:f>IF(B252="","",IFERROR(INDEX(Planos_Contratos!$C$4:$C$203,MATCH(B252,Planos_Contratos!$A$4:$A$203,0)),""))</x:f>
      </x:c>
      <x:c r="E252" s="72"/>
      <x:c r="F252" s="104"/>
      <x:c r="G252" s="64"/>
      <x:c r="H252" s="64"/>
      <x:c r="I252" s="92" t="str">
        <x:f>IF(B252="","",IFERROR(INDEX(Planos_Contratos!$G$4:$G$203,MATCH(B252,Planos_Contratos!$A$4:$A$203,0)),""))</x:f>
      </x:c>
    </x:row>
    <x:row r="253" ht="20" customHeight="1">
      <x:c r="A253" s="68" t="str">
        <x:f t="shared" si="3"/>
      </x:c>
      <x:c r="B253" s="64"/>
      <x:c r="C253" s="68" t="str">
        <x:f>IF(B253="","",IFERROR(INDEX(Planos_Contratos!$B$4:$B$203,MATCH(B253,Planos_Contratos!$A$4:$A$203,0)),""))</x:f>
      </x:c>
      <x:c r="D253" s="68" t="str">
        <x:f>IF(B253="","",IFERROR(INDEX(Planos_Contratos!$C$4:$C$203,MATCH(B253,Planos_Contratos!$A$4:$A$203,0)),""))</x:f>
      </x:c>
      <x:c r="E253" s="72"/>
      <x:c r="F253" s="104"/>
      <x:c r="G253" s="64"/>
      <x:c r="H253" s="64"/>
      <x:c r="I253" s="92" t="str">
        <x:f>IF(B253="","",IFERROR(INDEX(Planos_Contratos!$G$4:$G$203,MATCH(B253,Planos_Contratos!$A$4:$A$203,0)),""))</x:f>
      </x:c>
    </x:row>
    <x:row r="254" ht="20" customHeight="1">
      <x:c r="A254" s="68" t="str">
        <x:f t="shared" si="3"/>
      </x:c>
      <x:c r="B254" s="64"/>
      <x:c r="C254" s="68" t="str">
        <x:f>IF(B254="","",IFERROR(INDEX(Planos_Contratos!$B$4:$B$203,MATCH(B254,Planos_Contratos!$A$4:$A$203,0)),""))</x:f>
      </x:c>
      <x:c r="D254" s="68" t="str">
        <x:f>IF(B254="","",IFERROR(INDEX(Planos_Contratos!$C$4:$C$203,MATCH(B254,Planos_Contratos!$A$4:$A$203,0)),""))</x:f>
      </x:c>
      <x:c r="E254" s="72"/>
      <x:c r="F254" s="104"/>
      <x:c r="G254" s="64"/>
      <x:c r="H254" s="64"/>
      <x:c r="I254" s="92" t="str">
        <x:f>IF(B254="","",IFERROR(INDEX(Planos_Contratos!$G$4:$G$203,MATCH(B254,Planos_Contratos!$A$4:$A$203,0)),""))</x:f>
      </x:c>
    </x:row>
    <x:row r="255" ht="20" customHeight="1">
      <x:c r="A255" s="68" t="str">
        <x:f t="shared" si="3"/>
      </x:c>
      <x:c r="B255" s="64"/>
      <x:c r="C255" s="68" t="str">
        <x:f>IF(B255="","",IFERROR(INDEX(Planos_Contratos!$B$4:$B$203,MATCH(B255,Planos_Contratos!$A$4:$A$203,0)),""))</x:f>
      </x:c>
      <x:c r="D255" s="68" t="str">
        <x:f>IF(B255="","",IFERROR(INDEX(Planos_Contratos!$C$4:$C$203,MATCH(B255,Planos_Contratos!$A$4:$A$203,0)),""))</x:f>
      </x:c>
      <x:c r="E255" s="72"/>
      <x:c r="F255" s="104"/>
      <x:c r="G255" s="64"/>
      <x:c r="H255" s="64"/>
      <x:c r="I255" s="92" t="str">
        <x:f>IF(B255="","",IFERROR(INDEX(Planos_Contratos!$G$4:$G$203,MATCH(B255,Planos_Contratos!$A$4:$A$203,0)),""))</x:f>
      </x:c>
    </x:row>
    <x:row r="256" ht="20" customHeight="1">
      <x:c r="A256" s="68" t="str">
        <x:f t="shared" si="3"/>
      </x:c>
      <x:c r="B256" s="64"/>
      <x:c r="C256" s="68" t="str">
        <x:f>IF(B256="","",IFERROR(INDEX(Planos_Contratos!$B$4:$B$203,MATCH(B256,Planos_Contratos!$A$4:$A$203,0)),""))</x:f>
      </x:c>
      <x:c r="D256" s="68" t="str">
        <x:f>IF(B256="","",IFERROR(INDEX(Planos_Contratos!$C$4:$C$203,MATCH(B256,Planos_Contratos!$A$4:$A$203,0)),""))</x:f>
      </x:c>
      <x:c r="E256" s="72"/>
      <x:c r="F256" s="104"/>
      <x:c r="G256" s="64"/>
      <x:c r="H256" s="64"/>
      <x:c r="I256" s="92" t="str">
        <x:f>IF(B256="","",IFERROR(INDEX(Planos_Contratos!$G$4:$G$203,MATCH(B256,Planos_Contratos!$A$4:$A$203,0)),""))</x:f>
      </x:c>
    </x:row>
    <x:row r="257" ht="20" customHeight="1">
      <x:c r="A257" s="68" t="str">
        <x:f t="shared" si="3"/>
      </x:c>
      <x:c r="B257" s="64"/>
      <x:c r="C257" s="68" t="str">
        <x:f>IF(B257="","",IFERROR(INDEX(Planos_Contratos!$B$4:$B$203,MATCH(B257,Planos_Contratos!$A$4:$A$203,0)),""))</x:f>
      </x:c>
      <x:c r="D257" s="68" t="str">
        <x:f>IF(B257="","",IFERROR(INDEX(Planos_Contratos!$C$4:$C$203,MATCH(B257,Planos_Contratos!$A$4:$A$203,0)),""))</x:f>
      </x:c>
      <x:c r="E257" s="72"/>
      <x:c r="F257" s="104"/>
      <x:c r="G257" s="64"/>
      <x:c r="H257" s="64"/>
      <x:c r="I257" s="92" t="str">
        <x:f>IF(B257="","",IFERROR(INDEX(Planos_Contratos!$G$4:$G$203,MATCH(B257,Planos_Contratos!$A$4:$A$203,0)),""))</x:f>
      </x:c>
    </x:row>
    <x:row r="258" ht="20" customHeight="1">
      <x:c r="A258" s="68" t="str">
        <x:f t="shared" si="3"/>
      </x:c>
      <x:c r="B258" s="64"/>
      <x:c r="C258" s="68" t="str">
        <x:f>IF(B258="","",IFERROR(INDEX(Planos_Contratos!$B$4:$B$203,MATCH(B258,Planos_Contratos!$A$4:$A$203,0)),""))</x:f>
      </x:c>
      <x:c r="D258" s="68" t="str">
        <x:f>IF(B258="","",IFERROR(INDEX(Planos_Contratos!$C$4:$C$203,MATCH(B258,Planos_Contratos!$A$4:$A$203,0)),""))</x:f>
      </x:c>
      <x:c r="E258" s="72"/>
      <x:c r="F258" s="104"/>
      <x:c r="G258" s="64"/>
      <x:c r="H258" s="64"/>
      <x:c r="I258" s="92" t="str">
        <x:f>IF(B258="","",IFERROR(INDEX(Planos_Contratos!$G$4:$G$203,MATCH(B258,Planos_Contratos!$A$4:$A$203,0)),""))</x:f>
      </x:c>
    </x:row>
    <x:row r="259" ht="20" customHeight="1">
      <x:c r="A259" s="68" t="str">
        <x:f t="shared" si="3"/>
      </x:c>
      <x:c r="B259" s="64"/>
      <x:c r="C259" s="68" t="str">
        <x:f>IF(B259="","",IFERROR(INDEX(Planos_Contratos!$B$4:$B$203,MATCH(B259,Planos_Contratos!$A$4:$A$203,0)),""))</x:f>
      </x:c>
      <x:c r="D259" s="68" t="str">
        <x:f>IF(B259="","",IFERROR(INDEX(Planos_Contratos!$C$4:$C$203,MATCH(B259,Planos_Contratos!$A$4:$A$203,0)),""))</x:f>
      </x:c>
      <x:c r="E259" s="72"/>
      <x:c r="F259" s="104"/>
      <x:c r="G259" s="64"/>
      <x:c r="H259" s="64"/>
      <x:c r="I259" s="92" t="str">
        <x:f>IF(B259="","",IFERROR(INDEX(Planos_Contratos!$G$4:$G$203,MATCH(B259,Planos_Contratos!$A$4:$A$203,0)),""))</x:f>
      </x:c>
    </x:row>
    <x:row r="260" ht="20" customHeight="1">
      <x:c r="A260" s="68" t="str">
        <x:f t="shared" ref="A260:A323" si="4">IF(B260="","",ROW()-3)</x:f>
      </x:c>
      <x:c r="B260" s="64"/>
      <x:c r="C260" s="68" t="str">
        <x:f>IF(B260="","",IFERROR(INDEX(Planos_Contratos!$B$4:$B$203,MATCH(B260,Planos_Contratos!$A$4:$A$203,0)),""))</x:f>
      </x:c>
      <x:c r="D260" s="68" t="str">
        <x:f>IF(B260="","",IFERROR(INDEX(Planos_Contratos!$C$4:$C$203,MATCH(B260,Planos_Contratos!$A$4:$A$203,0)),""))</x:f>
      </x:c>
      <x:c r="E260" s="72"/>
      <x:c r="F260" s="104"/>
      <x:c r="G260" s="64"/>
      <x:c r="H260" s="64"/>
      <x:c r="I260" s="92" t="str">
        <x:f>IF(B260="","",IFERROR(INDEX(Planos_Contratos!$G$4:$G$203,MATCH(B260,Planos_Contratos!$A$4:$A$203,0)),""))</x:f>
      </x:c>
    </x:row>
    <x:row r="261" ht="20" customHeight="1">
      <x:c r="A261" s="68" t="str">
        <x:f t="shared" si="4"/>
      </x:c>
      <x:c r="B261" s="64"/>
      <x:c r="C261" s="68" t="str">
        <x:f>IF(B261="","",IFERROR(INDEX(Planos_Contratos!$B$4:$B$203,MATCH(B261,Planos_Contratos!$A$4:$A$203,0)),""))</x:f>
      </x:c>
      <x:c r="D261" s="68" t="str">
        <x:f>IF(B261="","",IFERROR(INDEX(Planos_Contratos!$C$4:$C$203,MATCH(B261,Planos_Contratos!$A$4:$A$203,0)),""))</x:f>
      </x:c>
      <x:c r="E261" s="72"/>
      <x:c r="F261" s="104"/>
      <x:c r="G261" s="64"/>
      <x:c r="H261" s="64"/>
      <x:c r="I261" s="92" t="str">
        <x:f>IF(B261="","",IFERROR(INDEX(Planos_Contratos!$G$4:$G$203,MATCH(B261,Planos_Contratos!$A$4:$A$203,0)),""))</x:f>
      </x:c>
    </x:row>
    <x:row r="262" ht="20" customHeight="1">
      <x:c r="A262" s="68" t="str">
        <x:f t="shared" si="4"/>
      </x:c>
      <x:c r="B262" s="64"/>
      <x:c r="C262" s="68" t="str">
        <x:f>IF(B262="","",IFERROR(INDEX(Planos_Contratos!$B$4:$B$203,MATCH(B262,Planos_Contratos!$A$4:$A$203,0)),""))</x:f>
      </x:c>
      <x:c r="D262" s="68" t="str">
        <x:f>IF(B262="","",IFERROR(INDEX(Planos_Contratos!$C$4:$C$203,MATCH(B262,Planos_Contratos!$A$4:$A$203,0)),""))</x:f>
      </x:c>
      <x:c r="E262" s="72"/>
      <x:c r="F262" s="104"/>
      <x:c r="G262" s="64"/>
      <x:c r="H262" s="64"/>
      <x:c r="I262" s="92" t="str">
        <x:f>IF(B262="","",IFERROR(INDEX(Planos_Contratos!$G$4:$G$203,MATCH(B262,Planos_Contratos!$A$4:$A$203,0)),""))</x:f>
      </x:c>
    </x:row>
    <x:row r="263" ht="20" customHeight="1">
      <x:c r="A263" s="68" t="str">
        <x:f t="shared" si="4"/>
      </x:c>
      <x:c r="B263" s="64"/>
      <x:c r="C263" s="68" t="str">
        <x:f>IF(B263="","",IFERROR(INDEX(Planos_Contratos!$B$4:$B$203,MATCH(B263,Planos_Contratos!$A$4:$A$203,0)),""))</x:f>
      </x:c>
      <x:c r="D263" s="68" t="str">
        <x:f>IF(B263="","",IFERROR(INDEX(Planos_Contratos!$C$4:$C$203,MATCH(B263,Planos_Contratos!$A$4:$A$203,0)),""))</x:f>
      </x:c>
      <x:c r="E263" s="72"/>
      <x:c r="F263" s="104"/>
      <x:c r="G263" s="64"/>
      <x:c r="H263" s="64"/>
      <x:c r="I263" s="92" t="str">
        <x:f>IF(B263="","",IFERROR(INDEX(Planos_Contratos!$G$4:$G$203,MATCH(B263,Planos_Contratos!$A$4:$A$203,0)),""))</x:f>
      </x:c>
    </x:row>
    <x:row r="264" ht="20" customHeight="1">
      <x:c r="A264" s="68" t="str">
        <x:f t="shared" si="4"/>
      </x:c>
      <x:c r="B264" s="64"/>
      <x:c r="C264" s="68" t="str">
        <x:f>IF(B264="","",IFERROR(INDEX(Planos_Contratos!$B$4:$B$203,MATCH(B264,Planos_Contratos!$A$4:$A$203,0)),""))</x:f>
      </x:c>
      <x:c r="D264" s="68" t="str">
        <x:f>IF(B264="","",IFERROR(INDEX(Planos_Contratos!$C$4:$C$203,MATCH(B264,Planos_Contratos!$A$4:$A$203,0)),""))</x:f>
      </x:c>
      <x:c r="E264" s="72"/>
      <x:c r="F264" s="104"/>
      <x:c r="G264" s="64"/>
      <x:c r="H264" s="64"/>
      <x:c r="I264" s="92" t="str">
        <x:f>IF(B264="","",IFERROR(INDEX(Planos_Contratos!$G$4:$G$203,MATCH(B264,Planos_Contratos!$A$4:$A$203,0)),""))</x:f>
      </x:c>
    </x:row>
    <x:row r="265" ht="20" customHeight="1">
      <x:c r="A265" s="68" t="str">
        <x:f t="shared" si="4"/>
      </x:c>
      <x:c r="B265" s="64"/>
      <x:c r="C265" s="68" t="str">
        <x:f>IF(B265="","",IFERROR(INDEX(Planos_Contratos!$B$4:$B$203,MATCH(B265,Planos_Contratos!$A$4:$A$203,0)),""))</x:f>
      </x:c>
      <x:c r="D265" s="68" t="str">
        <x:f>IF(B265="","",IFERROR(INDEX(Planos_Contratos!$C$4:$C$203,MATCH(B265,Planos_Contratos!$A$4:$A$203,0)),""))</x:f>
      </x:c>
      <x:c r="E265" s="72"/>
      <x:c r="F265" s="104"/>
      <x:c r="G265" s="64"/>
      <x:c r="H265" s="64"/>
      <x:c r="I265" s="92" t="str">
        <x:f>IF(B265="","",IFERROR(INDEX(Planos_Contratos!$G$4:$G$203,MATCH(B265,Planos_Contratos!$A$4:$A$203,0)),""))</x:f>
      </x:c>
    </x:row>
    <x:row r="266" ht="20" customHeight="1">
      <x:c r="A266" s="68" t="str">
        <x:f t="shared" si="4"/>
      </x:c>
      <x:c r="B266" s="64"/>
      <x:c r="C266" s="68" t="str">
        <x:f>IF(B266="","",IFERROR(INDEX(Planos_Contratos!$B$4:$B$203,MATCH(B266,Planos_Contratos!$A$4:$A$203,0)),""))</x:f>
      </x:c>
      <x:c r="D266" s="68" t="str">
        <x:f>IF(B266="","",IFERROR(INDEX(Planos_Contratos!$C$4:$C$203,MATCH(B266,Planos_Contratos!$A$4:$A$203,0)),""))</x:f>
      </x:c>
      <x:c r="E266" s="72"/>
      <x:c r="F266" s="104"/>
      <x:c r="G266" s="64"/>
      <x:c r="H266" s="64"/>
      <x:c r="I266" s="92" t="str">
        <x:f>IF(B266="","",IFERROR(INDEX(Planos_Contratos!$G$4:$G$203,MATCH(B266,Planos_Contratos!$A$4:$A$203,0)),""))</x:f>
      </x:c>
    </x:row>
    <x:row r="267" ht="20" customHeight="1">
      <x:c r="A267" s="68" t="str">
        <x:f t="shared" si="4"/>
      </x:c>
      <x:c r="B267" s="64"/>
      <x:c r="C267" s="68" t="str">
        <x:f>IF(B267="","",IFERROR(INDEX(Planos_Contratos!$B$4:$B$203,MATCH(B267,Planos_Contratos!$A$4:$A$203,0)),""))</x:f>
      </x:c>
      <x:c r="D267" s="68" t="str">
        <x:f>IF(B267="","",IFERROR(INDEX(Planos_Contratos!$C$4:$C$203,MATCH(B267,Planos_Contratos!$A$4:$A$203,0)),""))</x:f>
      </x:c>
      <x:c r="E267" s="72"/>
      <x:c r="F267" s="104"/>
      <x:c r="G267" s="64"/>
      <x:c r="H267" s="64"/>
      <x:c r="I267" s="92" t="str">
        <x:f>IF(B267="","",IFERROR(INDEX(Planos_Contratos!$G$4:$G$203,MATCH(B267,Planos_Contratos!$A$4:$A$203,0)),""))</x:f>
      </x:c>
    </x:row>
    <x:row r="268" ht="20" customHeight="1">
      <x:c r="A268" s="68" t="str">
        <x:f t="shared" si="4"/>
      </x:c>
      <x:c r="B268" s="64"/>
      <x:c r="C268" s="68" t="str">
        <x:f>IF(B268="","",IFERROR(INDEX(Planos_Contratos!$B$4:$B$203,MATCH(B268,Planos_Contratos!$A$4:$A$203,0)),""))</x:f>
      </x:c>
      <x:c r="D268" s="68" t="str">
        <x:f>IF(B268="","",IFERROR(INDEX(Planos_Contratos!$C$4:$C$203,MATCH(B268,Planos_Contratos!$A$4:$A$203,0)),""))</x:f>
      </x:c>
      <x:c r="E268" s="72"/>
      <x:c r="F268" s="104"/>
      <x:c r="G268" s="64"/>
      <x:c r="H268" s="64"/>
      <x:c r="I268" s="92" t="str">
        <x:f>IF(B268="","",IFERROR(INDEX(Planos_Contratos!$G$4:$G$203,MATCH(B268,Planos_Contratos!$A$4:$A$203,0)),""))</x:f>
      </x:c>
    </x:row>
    <x:row r="269" ht="20" customHeight="1">
      <x:c r="A269" s="68" t="str">
        <x:f t="shared" si="4"/>
      </x:c>
      <x:c r="B269" s="64"/>
      <x:c r="C269" s="68" t="str">
        <x:f>IF(B269="","",IFERROR(INDEX(Planos_Contratos!$B$4:$B$203,MATCH(B269,Planos_Contratos!$A$4:$A$203,0)),""))</x:f>
      </x:c>
      <x:c r="D269" s="68" t="str">
        <x:f>IF(B269="","",IFERROR(INDEX(Planos_Contratos!$C$4:$C$203,MATCH(B269,Planos_Contratos!$A$4:$A$203,0)),""))</x:f>
      </x:c>
      <x:c r="E269" s="72"/>
      <x:c r="F269" s="104"/>
      <x:c r="G269" s="64"/>
      <x:c r="H269" s="64"/>
      <x:c r="I269" s="92" t="str">
        <x:f>IF(B269="","",IFERROR(INDEX(Planos_Contratos!$G$4:$G$203,MATCH(B269,Planos_Contratos!$A$4:$A$203,0)),""))</x:f>
      </x:c>
    </x:row>
    <x:row r="270" ht="20" customHeight="1">
      <x:c r="A270" s="68" t="str">
        <x:f t="shared" si="4"/>
      </x:c>
      <x:c r="B270" s="64"/>
      <x:c r="C270" s="68" t="str">
        <x:f>IF(B270="","",IFERROR(INDEX(Planos_Contratos!$B$4:$B$203,MATCH(B270,Planos_Contratos!$A$4:$A$203,0)),""))</x:f>
      </x:c>
      <x:c r="D270" s="68" t="str">
        <x:f>IF(B270="","",IFERROR(INDEX(Planos_Contratos!$C$4:$C$203,MATCH(B270,Planos_Contratos!$A$4:$A$203,0)),""))</x:f>
      </x:c>
      <x:c r="E270" s="72"/>
      <x:c r="F270" s="104"/>
      <x:c r="G270" s="64"/>
      <x:c r="H270" s="64"/>
      <x:c r="I270" s="92" t="str">
        <x:f>IF(B270="","",IFERROR(INDEX(Planos_Contratos!$G$4:$G$203,MATCH(B270,Planos_Contratos!$A$4:$A$203,0)),""))</x:f>
      </x:c>
    </x:row>
    <x:row r="271" ht="20" customHeight="1">
      <x:c r="A271" s="68" t="str">
        <x:f t="shared" si="4"/>
      </x:c>
      <x:c r="B271" s="64"/>
      <x:c r="C271" s="68" t="str">
        <x:f>IF(B271="","",IFERROR(INDEX(Planos_Contratos!$B$4:$B$203,MATCH(B271,Planos_Contratos!$A$4:$A$203,0)),""))</x:f>
      </x:c>
      <x:c r="D271" s="68" t="str">
        <x:f>IF(B271="","",IFERROR(INDEX(Planos_Contratos!$C$4:$C$203,MATCH(B271,Planos_Contratos!$A$4:$A$203,0)),""))</x:f>
      </x:c>
      <x:c r="E271" s="72"/>
      <x:c r="F271" s="104"/>
      <x:c r="G271" s="64"/>
      <x:c r="H271" s="64"/>
      <x:c r="I271" s="92" t="str">
        <x:f>IF(B271="","",IFERROR(INDEX(Planos_Contratos!$G$4:$G$203,MATCH(B271,Planos_Contratos!$A$4:$A$203,0)),""))</x:f>
      </x:c>
    </x:row>
    <x:row r="272" ht="20" customHeight="1">
      <x:c r="A272" s="68" t="str">
        <x:f t="shared" si="4"/>
      </x:c>
      <x:c r="B272" s="64"/>
      <x:c r="C272" s="68" t="str">
        <x:f>IF(B272="","",IFERROR(INDEX(Planos_Contratos!$B$4:$B$203,MATCH(B272,Planos_Contratos!$A$4:$A$203,0)),""))</x:f>
      </x:c>
      <x:c r="D272" s="68" t="str">
        <x:f>IF(B272="","",IFERROR(INDEX(Planos_Contratos!$C$4:$C$203,MATCH(B272,Planos_Contratos!$A$4:$A$203,0)),""))</x:f>
      </x:c>
      <x:c r="E272" s="72"/>
      <x:c r="F272" s="104"/>
      <x:c r="G272" s="64"/>
      <x:c r="H272" s="64"/>
      <x:c r="I272" s="92" t="str">
        <x:f>IF(B272="","",IFERROR(INDEX(Planos_Contratos!$G$4:$G$203,MATCH(B272,Planos_Contratos!$A$4:$A$203,0)),""))</x:f>
      </x:c>
    </x:row>
    <x:row r="273" ht="20" customHeight="1">
      <x:c r="A273" s="68" t="str">
        <x:f t="shared" si="4"/>
      </x:c>
      <x:c r="B273" s="64"/>
      <x:c r="C273" s="68" t="str">
        <x:f>IF(B273="","",IFERROR(INDEX(Planos_Contratos!$B$4:$B$203,MATCH(B273,Planos_Contratos!$A$4:$A$203,0)),""))</x:f>
      </x:c>
      <x:c r="D273" s="68" t="str">
        <x:f>IF(B273="","",IFERROR(INDEX(Planos_Contratos!$C$4:$C$203,MATCH(B273,Planos_Contratos!$A$4:$A$203,0)),""))</x:f>
      </x:c>
      <x:c r="E273" s="72"/>
      <x:c r="F273" s="104"/>
      <x:c r="G273" s="64"/>
      <x:c r="H273" s="64"/>
      <x:c r="I273" s="92" t="str">
        <x:f>IF(B273="","",IFERROR(INDEX(Planos_Contratos!$G$4:$G$203,MATCH(B273,Planos_Contratos!$A$4:$A$203,0)),""))</x:f>
      </x:c>
    </x:row>
    <x:row r="274" ht="20" customHeight="1">
      <x:c r="A274" s="68" t="str">
        <x:f t="shared" si="4"/>
      </x:c>
      <x:c r="B274" s="64"/>
      <x:c r="C274" s="68" t="str">
        <x:f>IF(B274="","",IFERROR(INDEX(Planos_Contratos!$B$4:$B$203,MATCH(B274,Planos_Contratos!$A$4:$A$203,0)),""))</x:f>
      </x:c>
      <x:c r="D274" s="68" t="str">
        <x:f>IF(B274="","",IFERROR(INDEX(Planos_Contratos!$C$4:$C$203,MATCH(B274,Planos_Contratos!$A$4:$A$203,0)),""))</x:f>
      </x:c>
      <x:c r="E274" s="72"/>
      <x:c r="F274" s="104"/>
      <x:c r="G274" s="64"/>
      <x:c r="H274" s="64"/>
      <x:c r="I274" s="92" t="str">
        <x:f>IF(B274="","",IFERROR(INDEX(Planos_Contratos!$G$4:$G$203,MATCH(B274,Planos_Contratos!$A$4:$A$203,0)),""))</x:f>
      </x:c>
    </x:row>
    <x:row r="275" ht="20" customHeight="1">
      <x:c r="A275" s="68" t="str">
        <x:f t="shared" si="4"/>
      </x:c>
      <x:c r="B275" s="64"/>
      <x:c r="C275" s="68" t="str">
        <x:f>IF(B275="","",IFERROR(INDEX(Planos_Contratos!$B$4:$B$203,MATCH(B275,Planos_Contratos!$A$4:$A$203,0)),""))</x:f>
      </x:c>
      <x:c r="D275" s="68" t="str">
        <x:f>IF(B275="","",IFERROR(INDEX(Planos_Contratos!$C$4:$C$203,MATCH(B275,Planos_Contratos!$A$4:$A$203,0)),""))</x:f>
      </x:c>
      <x:c r="E275" s="72"/>
      <x:c r="F275" s="104"/>
      <x:c r="G275" s="64"/>
      <x:c r="H275" s="64"/>
      <x:c r="I275" s="92" t="str">
        <x:f>IF(B275="","",IFERROR(INDEX(Planos_Contratos!$G$4:$G$203,MATCH(B275,Planos_Contratos!$A$4:$A$203,0)),""))</x:f>
      </x:c>
    </x:row>
    <x:row r="276" ht="20" customHeight="1">
      <x:c r="A276" s="68" t="str">
        <x:f t="shared" si="4"/>
      </x:c>
      <x:c r="B276" s="64"/>
      <x:c r="C276" s="68" t="str">
        <x:f>IF(B276="","",IFERROR(INDEX(Planos_Contratos!$B$4:$B$203,MATCH(B276,Planos_Contratos!$A$4:$A$203,0)),""))</x:f>
      </x:c>
      <x:c r="D276" s="68" t="str">
        <x:f>IF(B276="","",IFERROR(INDEX(Planos_Contratos!$C$4:$C$203,MATCH(B276,Planos_Contratos!$A$4:$A$203,0)),""))</x:f>
      </x:c>
      <x:c r="E276" s="72"/>
      <x:c r="F276" s="104"/>
      <x:c r="G276" s="64"/>
      <x:c r="H276" s="64"/>
      <x:c r="I276" s="92" t="str">
        <x:f>IF(B276="","",IFERROR(INDEX(Planos_Contratos!$G$4:$G$203,MATCH(B276,Planos_Contratos!$A$4:$A$203,0)),""))</x:f>
      </x:c>
    </x:row>
    <x:row r="277" ht="20" customHeight="1">
      <x:c r="A277" s="68" t="str">
        <x:f t="shared" si="4"/>
      </x:c>
      <x:c r="B277" s="64"/>
      <x:c r="C277" s="68" t="str">
        <x:f>IF(B277="","",IFERROR(INDEX(Planos_Contratos!$B$4:$B$203,MATCH(B277,Planos_Contratos!$A$4:$A$203,0)),""))</x:f>
      </x:c>
      <x:c r="D277" s="68" t="str">
        <x:f>IF(B277="","",IFERROR(INDEX(Planos_Contratos!$C$4:$C$203,MATCH(B277,Planos_Contratos!$A$4:$A$203,0)),""))</x:f>
      </x:c>
      <x:c r="E277" s="72"/>
      <x:c r="F277" s="104"/>
      <x:c r="G277" s="64"/>
      <x:c r="H277" s="64"/>
      <x:c r="I277" s="92" t="str">
        <x:f>IF(B277="","",IFERROR(INDEX(Planos_Contratos!$G$4:$G$203,MATCH(B277,Planos_Contratos!$A$4:$A$203,0)),""))</x:f>
      </x:c>
    </x:row>
    <x:row r="278" ht="20" customHeight="1">
      <x:c r="A278" s="68" t="str">
        <x:f t="shared" si="4"/>
      </x:c>
      <x:c r="B278" s="64"/>
      <x:c r="C278" s="68" t="str">
        <x:f>IF(B278="","",IFERROR(INDEX(Planos_Contratos!$B$4:$B$203,MATCH(B278,Planos_Contratos!$A$4:$A$203,0)),""))</x:f>
      </x:c>
      <x:c r="D278" s="68" t="str">
        <x:f>IF(B278="","",IFERROR(INDEX(Planos_Contratos!$C$4:$C$203,MATCH(B278,Planos_Contratos!$A$4:$A$203,0)),""))</x:f>
      </x:c>
      <x:c r="E278" s="72"/>
      <x:c r="F278" s="104"/>
      <x:c r="G278" s="64"/>
      <x:c r="H278" s="64"/>
      <x:c r="I278" s="92" t="str">
        <x:f>IF(B278="","",IFERROR(INDEX(Planos_Contratos!$G$4:$G$203,MATCH(B278,Planos_Contratos!$A$4:$A$203,0)),""))</x:f>
      </x:c>
    </x:row>
    <x:row r="279" ht="20" customHeight="1">
      <x:c r="A279" s="68" t="str">
        <x:f t="shared" si="4"/>
      </x:c>
      <x:c r="B279" s="64"/>
      <x:c r="C279" s="68" t="str">
        <x:f>IF(B279="","",IFERROR(INDEX(Planos_Contratos!$B$4:$B$203,MATCH(B279,Planos_Contratos!$A$4:$A$203,0)),""))</x:f>
      </x:c>
      <x:c r="D279" s="68" t="str">
        <x:f>IF(B279="","",IFERROR(INDEX(Planos_Contratos!$C$4:$C$203,MATCH(B279,Planos_Contratos!$A$4:$A$203,0)),""))</x:f>
      </x:c>
      <x:c r="E279" s="72"/>
      <x:c r="F279" s="104"/>
      <x:c r="G279" s="64"/>
      <x:c r="H279" s="64"/>
      <x:c r="I279" s="92" t="str">
        <x:f>IF(B279="","",IFERROR(INDEX(Planos_Contratos!$G$4:$G$203,MATCH(B279,Planos_Contratos!$A$4:$A$203,0)),""))</x:f>
      </x:c>
    </x:row>
    <x:row r="280" ht="20" customHeight="1">
      <x:c r="A280" s="68" t="str">
        <x:f t="shared" si="4"/>
      </x:c>
      <x:c r="B280" s="64"/>
      <x:c r="C280" s="68" t="str">
        <x:f>IF(B280="","",IFERROR(INDEX(Planos_Contratos!$B$4:$B$203,MATCH(B280,Planos_Contratos!$A$4:$A$203,0)),""))</x:f>
      </x:c>
      <x:c r="D280" s="68" t="str">
        <x:f>IF(B280="","",IFERROR(INDEX(Planos_Contratos!$C$4:$C$203,MATCH(B280,Planos_Contratos!$A$4:$A$203,0)),""))</x:f>
      </x:c>
      <x:c r="E280" s="72"/>
      <x:c r="F280" s="104"/>
      <x:c r="G280" s="64"/>
      <x:c r="H280" s="64"/>
      <x:c r="I280" s="92" t="str">
        <x:f>IF(B280="","",IFERROR(INDEX(Planos_Contratos!$G$4:$G$203,MATCH(B280,Planos_Contratos!$A$4:$A$203,0)),""))</x:f>
      </x:c>
    </x:row>
    <x:row r="281" ht="20" customHeight="1">
      <x:c r="A281" s="68" t="str">
        <x:f t="shared" si="4"/>
      </x:c>
      <x:c r="B281" s="64"/>
      <x:c r="C281" s="68" t="str">
        <x:f>IF(B281="","",IFERROR(INDEX(Planos_Contratos!$B$4:$B$203,MATCH(B281,Planos_Contratos!$A$4:$A$203,0)),""))</x:f>
      </x:c>
      <x:c r="D281" s="68" t="str">
        <x:f>IF(B281="","",IFERROR(INDEX(Planos_Contratos!$C$4:$C$203,MATCH(B281,Planos_Contratos!$A$4:$A$203,0)),""))</x:f>
      </x:c>
      <x:c r="E281" s="72"/>
      <x:c r="F281" s="104"/>
      <x:c r="G281" s="64"/>
      <x:c r="H281" s="64"/>
      <x:c r="I281" s="92" t="str">
        <x:f>IF(B281="","",IFERROR(INDEX(Planos_Contratos!$G$4:$G$203,MATCH(B281,Planos_Contratos!$A$4:$A$203,0)),""))</x:f>
      </x:c>
    </x:row>
    <x:row r="282" ht="20" customHeight="1">
      <x:c r="A282" s="68" t="str">
        <x:f t="shared" si="4"/>
      </x:c>
      <x:c r="B282" s="64"/>
      <x:c r="C282" s="68" t="str">
        <x:f>IF(B282="","",IFERROR(INDEX(Planos_Contratos!$B$4:$B$203,MATCH(B282,Planos_Contratos!$A$4:$A$203,0)),""))</x:f>
      </x:c>
      <x:c r="D282" s="68" t="str">
        <x:f>IF(B282="","",IFERROR(INDEX(Planos_Contratos!$C$4:$C$203,MATCH(B282,Planos_Contratos!$A$4:$A$203,0)),""))</x:f>
      </x:c>
      <x:c r="E282" s="72"/>
      <x:c r="F282" s="104"/>
      <x:c r="G282" s="64"/>
      <x:c r="H282" s="64"/>
      <x:c r="I282" s="92" t="str">
        <x:f>IF(B282="","",IFERROR(INDEX(Planos_Contratos!$G$4:$G$203,MATCH(B282,Planos_Contratos!$A$4:$A$203,0)),""))</x:f>
      </x:c>
    </x:row>
    <x:row r="283" ht="20" customHeight="1">
      <x:c r="A283" s="68" t="str">
        <x:f t="shared" si="4"/>
      </x:c>
      <x:c r="B283" s="64"/>
      <x:c r="C283" s="68" t="str">
        <x:f>IF(B283="","",IFERROR(INDEX(Planos_Contratos!$B$4:$B$203,MATCH(B283,Planos_Contratos!$A$4:$A$203,0)),""))</x:f>
      </x:c>
      <x:c r="D283" s="68" t="str">
        <x:f>IF(B283="","",IFERROR(INDEX(Planos_Contratos!$C$4:$C$203,MATCH(B283,Planos_Contratos!$A$4:$A$203,0)),""))</x:f>
      </x:c>
      <x:c r="E283" s="72"/>
      <x:c r="F283" s="104"/>
      <x:c r="G283" s="64"/>
      <x:c r="H283" s="64"/>
      <x:c r="I283" s="92" t="str">
        <x:f>IF(B283="","",IFERROR(INDEX(Planos_Contratos!$G$4:$G$203,MATCH(B283,Planos_Contratos!$A$4:$A$203,0)),""))</x:f>
      </x:c>
    </x:row>
    <x:row r="284" ht="20" customHeight="1">
      <x:c r="A284" s="68" t="str">
        <x:f t="shared" si="4"/>
      </x:c>
      <x:c r="B284" s="64"/>
      <x:c r="C284" s="68" t="str">
        <x:f>IF(B284="","",IFERROR(INDEX(Planos_Contratos!$B$4:$B$203,MATCH(B284,Planos_Contratos!$A$4:$A$203,0)),""))</x:f>
      </x:c>
      <x:c r="D284" s="68" t="str">
        <x:f>IF(B284="","",IFERROR(INDEX(Planos_Contratos!$C$4:$C$203,MATCH(B284,Planos_Contratos!$A$4:$A$203,0)),""))</x:f>
      </x:c>
      <x:c r="E284" s="72"/>
      <x:c r="F284" s="104"/>
      <x:c r="G284" s="64"/>
      <x:c r="H284" s="64"/>
      <x:c r="I284" s="92" t="str">
        <x:f>IF(B284="","",IFERROR(INDEX(Planos_Contratos!$G$4:$G$203,MATCH(B284,Planos_Contratos!$A$4:$A$203,0)),""))</x:f>
      </x:c>
    </x:row>
    <x:row r="285" ht="20" customHeight="1">
      <x:c r="A285" s="68" t="str">
        <x:f t="shared" si="4"/>
      </x:c>
      <x:c r="B285" s="64"/>
      <x:c r="C285" s="68" t="str">
        <x:f>IF(B285="","",IFERROR(INDEX(Planos_Contratos!$B$4:$B$203,MATCH(B285,Planos_Contratos!$A$4:$A$203,0)),""))</x:f>
      </x:c>
      <x:c r="D285" s="68" t="str">
        <x:f>IF(B285="","",IFERROR(INDEX(Planos_Contratos!$C$4:$C$203,MATCH(B285,Planos_Contratos!$A$4:$A$203,0)),""))</x:f>
      </x:c>
      <x:c r="E285" s="72"/>
      <x:c r="F285" s="104"/>
      <x:c r="G285" s="64"/>
      <x:c r="H285" s="64"/>
      <x:c r="I285" s="92" t="str">
        <x:f>IF(B285="","",IFERROR(INDEX(Planos_Contratos!$G$4:$G$203,MATCH(B285,Planos_Contratos!$A$4:$A$203,0)),""))</x:f>
      </x:c>
    </x:row>
    <x:row r="286" ht="20" customHeight="1">
      <x:c r="A286" s="68" t="str">
        <x:f t="shared" si="4"/>
      </x:c>
      <x:c r="B286" s="64"/>
      <x:c r="C286" s="68" t="str">
        <x:f>IF(B286="","",IFERROR(INDEX(Planos_Contratos!$B$4:$B$203,MATCH(B286,Planos_Contratos!$A$4:$A$203,0)),""))</x:f>
      </x:c>
      <x:c r="D286" s="68" t="str">
        <x:f>IF(B286="","",IFERROR(INDEX(Planos_Contratos!$C$4:$C$203,MATCH(B286,Planos_Contratos!$A$4:$A$203,0)),""))</x:f>
      </x:c>
      <x:c r="E286" s="72"/>
      <x:c r="F286" s="104"/>
      <x:c r="G286" s="64"/>
      <x:c r="H286" s="64"/>
      <x:c r="I286" s="92" t="str">
        <x:f>IF(B286="","",IFERROR(INDEX(Planos_Contratos!$G$4:$G$203,MATCH(B286,Planos_Contratos!$A$4:$A$203,0)),""))</x:f>
      </x:c>
    </x:row>
    <x:row r="287" ht="20" customHeight="1">
      <x:c r="A287" s="68" t="str">
        <x:f t="shared" si="4"/>
      </x:c>
      <x:c r="B287" s="64"/>
      <x:c r="C287" s="68" t="str">
        <x:f>IF(B287="","",IFERROR(INDEX(Planos_Contratos!$B$4:$B$203,MATCH(B287,Planos_Contratos!$A$4:$A$203,0)),""))</x:f>
      </x:c>
      <x:c r="D287" s="68" t="str">
        <x:f>IF(B287="","",IFERROR(INDEX(Planos_Contratos!$C$4:$C$203,MATCH(B287,Planos_Contratos!$A$4:$A$203,0)),""))</x:f>
      </x:c>
      <x:c r="E287" s="72"/>
      <x:c r="F287" s="104"/>
      <x:c r="G287" s="64"/>
      <x:c r="H287" s="64"/>
      <x:c r="I287" s="92" t="str">
        <x:f>IF(B287="","",IFERROR(INDEX(Planos_Contratos!$G$4:$G$203,MATCH(B287,Planos_Contratos!$A$4:$A$203,0)),""))</x:f>
      </x:c>
    </x:row>
    <x:row r="288" ht="20" customHeight="1">
      <x:c r="A288" s="68" t="str">
        <x:f t="shared" si="4"/>
      </x:c>
      <x:c r="B288" s="64"/>
      <x:c r="C288" s="68" t="str">
        <x:f>IF(B288="","",IFERROR(INDEX(Planos_Contratos!$B$4:$B$203,MATCH(B288,Planos_Contratos!$A$4:$A$203,0)),""))</x:f>
      </x:c>
      <x:c r="D288" s="68" t="str">
        <x:f>IF(B288="","",IFERROR(INDEX(Planos_Contratos!$C$4:$C$203,MATCH(B288,Planos_Contratos!$A$4:$A$203,0)),""))</x:f>
      </x:c>
      <x:c r="E288" s="72"/>
      <x:c r="F288" s="104"/>
      <x:c r="G288" s="64"/>
      <x:c r="H288" s="64"/>
      <x:c r="I288" s="92" t="str">
        <x:f>IF(B288="","",IFERROR(INDEX(Planos_Contratos!$G$4:$G$203,MATCH(B288,Planos_Contratos!$A$4:$A$203,0)),""))</x:f>
      </x:c>
    </x:row>
    <x:row r="289" ht="20" customHeight="1">
      <x:c r="A289" s="68" t="str">
        <x:f t="shared" si="4"/>
      </x:c>
      <x:c r="B289" s="64"/>
      <x:c r="C289" s="68" t="str">
        <x:f>IF(B289="","",IFERROR(INDEX(Planos_Contratos!$B$4:$B$203,MATCH(B289,Planos_Contratos!$A$4:$A$203,0)),""))</x:f>
      </x:c>
      <x:c r="D289" s="68" t="str">
        <x:f>IF(B289="","",IFERROR(INDEX(Planos_Contratos!$C$4:$C$203,MATCH(B289,Planos_Contratos!$A$4:$A$203,0)),""))</x:f>
      </x:c>
      <x:c r="E289" s="72"/>
      <x:c r="F289" s="104"/>
      <x:c r="G289" s="64"/>
      <x:c r="H289" s="64"/>
      <x:c r="I289" s="92" t="str">
        <x:f>IF(B289="","",IFERROR(INDEX(Planos_Contratos!$G$4:$G$203,MATCH(B289,Planos_Contratos!$A$4:$A$203,0)),""))</x:f>
      </x:c>
    </x:row>
    <x:row r="290" ht="20" customHeight="1">
      <x:c r="A290" s="68" t="str">
        <x:f t="shared" si="4"/>
      </x:c>
      <x:c r="B290" s="64"/>
      <x:c r="C290" s="68" t="str">
        <x:f>IF(B290="","",IFERROR(INDEX(Planos_Contratos!$B$4:$B$203,MATCH(B290,Planos_Contratos!$A$4:$A$203,0)),""))</x:f>
      </x:c>
      <x:c r="D290" s="68" t="str">
        <x:f>IF(B290="","",IFERROR(INDEX(Planos_Contratos!$C$4:$C$203,MATCH(B290,Planos_Contratos!$A$4:$A$203,0)),""))</x:f>
      </x:c>
      <x:c r="E290" s="72"/>
      <x:c r="F290" s="104"/>
      <x:c r="G290" s="64"/>
      <x:c r="H290" s="64"/>
      <x:c r="I290" s="92" t="str">
        <x:f>IF(B290="","",IFERROR(INDEX(Planos_Contratos!$G$4:$G$203,MATCH(B290,Planos_Contratos!$A$4:$A$203,0)),""))</x:f>
      </x:c>
    </x:row>
    <x:row r="291" ht="20" customHeight="1">
      <x:c r="A291" s="68" t="str">
        <x:f t="shared" si="4"/>
      </x:c>
      <x:c r="B291" s="64"/>
      <x:c r="C291" s="68" t="str">
        <x:f>IF(B291="","",IFERROR(INDEX(Planos_Contratos!$B$4:$B$203,MATCH(B291,Planos_Contratos!$A$4:$A$203,0)),""))</x:f>
      </x:c>
      <x:c r="D291" s="68" t="str">
        <x:f>IF(B291="","",IFERROR(INDEX(Planos_Contratos!$C$4:$C$203,MATCH(B291,Planos_Contratos!$A$4:$A$203,0)),""))</x:f>
      </x:c>
      <x:c r="E291" s="72"/>
      <x:c r="F291" s="104"/>
      <x:c r="G291" s="64"/>
      <x:c r="H291" s="64"/>
      <x:c r="I291" s="92" t="str">
        <x:f>IF(B291="","",IFERROR(INDEX(Planos_Contratos!$G$4:$G$203,MATCH(B291,Planos_Contratos!$A$4:$A$203,0)),""))</x:f>
      </x:c>
    </x:row>
    <x:row r="292" ht="20" customHeight="1">
      <x:c r="A292" s="68" t="str">
        <x:f t="shared" si="4"/>
      </x:c>
      <x:c r="B292" s="64"/>
      <x:c r="C292" s="68" t="str">
        <x:f>IF(B292="","",IFERROR(INDEX(Planos_Contratos!$B$4:$B$203,MATCH(B292,Planos_Contratos!$A$4:$A$203,0)),""))</x:f>
      </x:c>
      <x:c r="D292" s="68" t="str">
        <x:f>IF(B292="","",IFERROR(INDEX(Planos_Contratos!$C$4:$C$203,MATCH(B292,Planos_Contratos!$A$4:$A$203,0)),""))</x:f>
      </x:c>
      <x:c r="E292" s="72"/>
      <x:c r="F292" s="104"/>
      <x:c r="G292" s="64"/>
      <x:c r="H292" s="64"/>
      <x:c r="I292" s="92" t="str">
        <x:f>IF(B292="","",IFERROR(INDEX(Planos_Contratos!$G$4:$G$203,MATCH(B292,Planos_Contratos!$A$4:$A$203,0)),""))</x:f>
      </x:c>
    </x:row>
    <x:row r="293" ht="20" customHeight="1">
      <x:c r="A293" s="68" t="str">
        <x:f t="shared" si="4"/>
      </x:c>
      <x:c r="B293" s="64"/>
      <x:c r="C293" s="68" t="str">
        <x:f>IF(B293="","",IFERROR(INDEX(Planos_Contratos!$B$4:$B$203,MATCH(B293,Planos_Contratos!$A$4:$A$203,0)),""))</x:f>
      </x:c>
      <x:c r="D293" s="68" t="str">
        <x:f>IF(B293="","",IFERROR(INDEX(Planos_Contratos!$C$4:$C$203,MATCH(B293,Planos_Contratos!$A$4:$A$203,0)),""))</x:f>
      </x:c>
      <x:c r="E293" s="72"/>
      <x:c r="F293" s="104"/>
      <x:c r="G293" s="64"/>
      <x:c r="H293" s="64"/>
      <x:c r="I293" s="92" t="str">
        <x:f>IF(B293="","",IFERROR(INDEX(Planos_Contratos!$G$4:$G$203,MATCH(B293,Planos_Contratos!$A$4:$A$203,0)),""))</x:f>
      </x:c>
    </x:row>
    <x:row r="294" ht="20" customHeight="1">
      <x:c r="A294" s="68" t="str">
        <x:f t="shared" si="4"/>
      </x:c>
      <x:c r="B294" s="64"/>
      <x:c r="C294" s="68" t="str">
        <x:f>IF(B294="","",IFERROR(INDEX(Planos_Contratos!$B$4:$B$203,MATCH(B294,Planos_Contratos!$A$4:$A$203,0)),""))</x:f>
      </x:c>
      <x:c r="D294" s="68" t="str">
        <x:f>IF(B294="","",IFERROR(INDEX(Planos_Contratos!$C$4:$C$203,MATCH(B294,Planos_Contratos!$A$4:$A$203,0)),""))</x:f>
      </x:c>
      <x:c r="E294" s="72"/>
      <x:c r="F294" s="104"/>
      <x:c r="G294" s="64"/>
      <x:c r="H294" s="64"/>
      <x:c r="I294" s="92" t="str">
        <x:f>IF(B294="","",IFERROR(INDEX(Planos_Contratos!$G$4:$G$203,MATCH(B294,Planos_Contratos!$A$4:$A$203,0)),""))</x:f>
      </x:c>
    </x:row>
    <x:row r="295" ht="20" customHeight="1">
      <x:c r="A295" s="68" t="str">
        <x:f t="shared" si="4"/>
      </x:c>
      <x:c r="B295" s="64"/>
      <x:c r="C295" s="68" t="str">
        <x:f>IF(B295="","",IFERROR(INDEX(Planos_Contratos!$B$4:$B$203,MATCH(B295,Planos_Contratos!$A$4:$A$203,0)),""))</x:f>
      </x:c>
      <x:c r="D295" s="68" t="str">
        <x:f>IF(B295="","",IFERROR(INDEX(Planos_Contratos!$C$4:$C$203,MATCH(B295,Planos_Contratos!$A$4:$A$203,0)),""))</x:f>
      </x:c>
      <x:c r="E295" s="72"/>
      <x:c r="F295" s="104"/>
      <x:c r="G295" s="64"/>
      <x:c r="H295" s="64"/>
      <x:c r="I295" s="92" t="str">
        <x:f>IF(B295="","",IFERROR(INDEX(Planos_Contratos!$G$4:$G$203,MATCH(B295,Planos_Contratos!$A$4:$A$203,0)),""))</x:f>
      </x:c>
    </x:row>
    <x:row r="296" ht="20" customHeight="1">
      <x:c r="A296" s="68" t="str">
        <x:f t="shared" si="4"/>
      </x:c>
      <x:c r="B296" s="64"/>
      <x:c r="C296" s="68" t="str">
        <x:f>IF(B296="","",IFERROR(INDEX(Planos_Contratos!$B$4:$B$203,MATCH(B296,Planos_Contratos!$A$4:$A$203,0)),""))</x:f>
      </x:c>
      <x:c r="D296" s="68" t="str">
        <x:f>IF(B296="","",IFERROR(INDEX(Planos_Contratos!$C$4:$C$203,MATCH(B296,Planos_Contratos!$A$4:$A$203,0)),""))</x:f>
      </x:c>
      <x:c r="E296" s="72"/>
      <x:c r="F296" s="104"/>
      <x:c r="G296" s="64"/>
      <x:c r="H296" s="64"/>
      <x:c r="I296" s="92" t="str">
        <x:f>IF(B296="","",IFERROR(INDEX(Planos_Contratos!$G$4:$G$203,MATCH(B296,Planos_Contratos!$A$4:$A$203,0)),""))</x:f>
      </x:c>
    </x:row>
    <x:row r="297" ht="20" customHeight="1">
      <x:c r="A297" s="68" t="str">
        <x:f t="shared" si="4"/>
      </x:c>
      <x:c r="B297" s="64"/>
      <x:c r="C297" s="68" t="str">
        <x:f>IF(B297="","",IFERROR(INDEX(Planos_Contratos!$B$4:$B$203,MATCH(B297,Planos_Contratos!$A$4:$A$203,0)),""))</x:f>
      </x:c>
      <x:c r="D297" s="68" t="str">
        <x:f>IF(B297="","",IFERROR(INDEX(Planos_Contratos!$C$4:$C$203,MATCH(B297,Planos_Contratos!$A$4:$A$203,0)),""))</x:f>
      </x:c>
      <x:c r="E297" s="72"/>
      <x:c r="F297" s="104"/>
      <x:c r="G297" s="64"/>
      <x:c r="H297" s="64"/>
      <x:c r="I297" s="92" t="str">
        <x:f>IF(B297="","",IFERROR(INDEX(Planos_Contratos!$G$4:$G$203,MATCH(B297,Planos_Contratos!$A$4:$A$203,0)),""))</x:f>
      </x:c>
    </x:row>
    <x:row r="298" ht="20" customHeight="1">
      <x:c r="A298" s="68" t="str">
        <x:f t="shared" si="4"/>
      </x:c>
      <x:c r="B298" s="64"/>
      <x:c r="C298" s="68" t="str">
        <x:f>IF(B298="","",IFERROR(INDEX(Planos_Contratos!$B$4:$B$203,MATCH(B298,Planos_Contratos!$A$4:$A$203,0)),""))</x:f>
      </x:c>
      <x:c r="D298" s="68" t="str">
        <x:f>IF(B298="","",IFERROR(INDEX(Planos_Contratos!$C$4:$C$203,MATCH(B298,Planos_Contratos!$A$4:$A$203,0)),""))</x:f>
      </x:c>
      <x:c r="E298" s="72"/>
      <x:c r="F298" s="104"/>
      <x:c r="G298" s="64"/>
      <x:c r="H298" s="64"/>
      <x:c r="I298" s="92" t="str">
        <x:f>IF(B298="","",IFERROR(INDEX(Planos_Contratos!$G$4:$G$203,MATCH(B298,Planos_Contratos!$A$4:$A$203,0)),""))</x:f>
      </x:c>
    </x:row>
    <x:row r="299" ht="20" customHeight="1">
      <x:c r="A299" s="68" t="str">
        <x:f t="shared" si="4"/>
      </x:c>
      <x:c r="B299" s="64"/>
      <x:c r="C299" s="68" t="str">
        <x:f>IF(B299="","",IFERROR(INDEX(Planos_Contratos!$B$4:$B$203,MATCH(B299,Planos_Contratos!$A$4:$A$203,0)),""))</x:f>
      </x:c>
      <x:c r="D299" s="68" t="str">
        <x:f>IF(B299="","",IFERROR(INDEX(Planos_Contratos!$C$4:$C$203,MATCH(B299,Planos_Contratos!$A$4:$A$203,0)),""))</x:f>
      </x:c>
      <x:c r="E299" s="72"/>
      <x:c r="F299" s="104"/>
      <x:c r="G299" s="64"/>
      <x:c r="H299" s="64"/>
      <x:c r="I299" s="92" t="str">
        <x:f>IF(B299="","",IFERROR(INDEX(Planos_Contratos!$G$4:$G$203,MATCH(B299,Planos_Contratos!$A$4:$A$203,0)),""))</x:f>
      </x:c>
    </x:row>
    <x:row r="300" ht="20" customHeight="1">
      <x:c r="A300" s="68" t="str">
        <x:f t="shared" si="4"/>
      </x:c>
      <x:c r="B300" s="64"/>
      <x:c r="C300" s="68" t="str">
        <x:f>IF(B300="","",IFERROR(INDEX(Planos_Contratos!$B$4:$B$203,MATCH(B300,Planos_Contratos!$A$4:$A$203,0)),""))</x:f>
      </x:c>
      <x:c r="D300" s="68" t="str">
        <x:f>IF(B300="","",IFERROR(INDEX(Planos_Contratos!$C$4:$C$203,MATCH(B300,Planos_Contratos!$A$4:$A$203,0)),""))</x:f>
      </x:c>
      <x:c r="E300" s="72"/>
      <x:c r="F300" s="104"/>
      <x:c r="G300" s="64"/>
      <x:c r="H300" s="64"/>
      <x:c r="I300" s="92" t="str">
        <x:f>IF(B300="","",IFERROR(INDEX(Planos_Contratos!$G$4:$G$203,MATCH(B300,Planos_Contratos!$A$4:$A$203,0)),""))</x:f>
      </x:c>
    </x:row>
    <x:row r="301" ht="20" customHeight="1">
      <x:c r="A301" s="68" t="str">
        <x:f t="shared" si="4"/>
      </x:c>
      <x:c r="B301" s="64"/>
      <x:c r="C301" s="68" t="str">
        <x:f>IF(B301="","",IFERROR(INDEX(Planos_Contratos!$B$4:$B$203,MATCH(B301,Planos_Contratos!$A$4:$A$203,0)),""))</x:f>
      </x:c>
      <x:c r="D301" s="68" t="str">
        <x:f>IF(B301="","",IFERROR(INDEX(Planos_Contratos!$C$4:$C$203,MATCH(B301,Planos_Contratos!$A$4:$A$203,0)),""))</x:f>
      </x:c>
      <x:c r="E301" s="72"/>
      <x:c r="F301" s="104"/>
      <x:c r="G301" s="64"/>
      <x:c r="H301" s="64"/>
      <x:c r="I301" s="92" t="str">
        <x:f>IF(B301="","",IFERROR(INDEX(Planos_Contratos!$G$4:$G$203,MATCH(B301,Planos_Contratos!$A$4:$A$203,0)),""))</x:f>
      </x:c>
    </x:row>
    <x:row r="302" ht="20" customHeight="1">
      <x:c r="A302" s="68" t="str">
        <x:f t="shared" si="4"/>
      </x:c>
      <x:c r="B302" s="64"/>
      <x:c r="C302" s="68" t="str">
        <x:f>IF(B302="","",IFERROR(INDEX(Planos_Contratos!$B$4:$B$203,MATCH(B302,Planos_Contratos!$A$4:$A$203,0)),""))</x:f>
      </x:c>
      <x:c r="D302" s="68" t="str">
        <x:f>IF(B302="","",IFERROR(INDEX(Planos_Contratos!$C$4:$C$203,MATCH(B302,Planos_Contratos!$A$4:$A$203,0)),""))</x:f>
      </x:c>
      <x:c r="E302" s="72"/>
      <x:c r="F302" s="104"/>
      <x:c r="G302" s="64"/>
      <x:c r="H302" s="64"/>
      <x:c r="I302" s="92" t="str">
        <x:f>IF(B302="","",IFERROR(INDEX(Planos_Contratos!$G$4:$G$203,MATCH(B302,Planos_Contratos!$A$4:$A$203,0)),""))</x:f>
      </x:c>
    </x:row>
    <x:row r="303" ht="20" customHeight="1">
      <x:c r="A303" s="68" t="str">
        <x:f t="shared" si="4"/>
      </x:c>
      <x:c r="B303" s="64"/>
      <x:c r="C303" s="68" t="str">
        <x:f>IF(B303="","",IFERROR(INDEX(Planos_Contratos!$B$4:$B$203,MATCH(B303,Planos_Contratos!$A$4:$A$203,0)),""))</x:f>
      </x:c>
      <x:c r="D303" s="68" t="str">
        <x:f>IF(B303="","",IFERROR(INDEX(Planos_Contratos!$C$4:$C$203,MATCH(B303,Planos_Contratos!$A$4:$A$203,0)),""))</x:f>
      </x:c>
      <x:c r="E303" s="72"/>
      <x:c r="F303" s="104"/>
      <x:c r="G303" s="64"/>
      <x:c r="H303" s="64"/>
      <x:c r="I303" s="92" t="str">
        <x:f>IF(B303="","",IFERROR(INDEX(Planos_Contratos!$G$4:$G$203,MATCH(B303,Planos_Contratos!$A$4:$A$203,0)),""))</x:f>
      </x:c>
    </x:row>
    <x:row r="304" ht="20" customHeight="1">
      <x:c r="A304" s="68" t="str">
        <x:f t="shared" si="4"/>
      </x:c>
      <x:c r="B304" s="64"/>
      <x:c r="C304" s="68" t="str">
        <x:f>IF(B304="","",IFERROR(INDEX(Planos_Contratos!$B$4:$B$203,MATCH(B304,Planos_Contratos!$A$4:$A$203,0)),""))</x:f>
      </x:c>
      <x:c r="D304" s="68" t="str">
        <x:f>IF(B304="","",IFERROR(INDEX(Planos_Contratos!$C$4:$C$203,MATCH(B304,Planos_Contratos!$A$4:$A$203,0)),""))</x:f>
      </x:c>
      <x:c r="E304" s="72"/>
      <x:c r="F304" s="104"/>
      <x:c r="G304" s="64"/>
      <x:c r="H304" s="64"/>
      <x:c r="I304" s="92" t="str">
        <x:f>IF(B304="","",IFERROR(INDEX(Planos_Contratos!$G$4:$G$203,MATCH(B304,Planos_Contratos!$A$4:$A$203,0)),""))</x:f>
      </x:c>
    </x:row>
    <x:row r="305" ht="20" customHeight="1">
      <x:c r="A305" s="68" t="str">
        <x:f t="shared" si="4"/>
      </x:c>
      <x:c r="B305" s="64"/>
      <x:c r="C305" s="68" t="str">
        <x:f>IF(B305="","",IFERROR(INDEX(Planos_Contratos!$B$4:$B$203,MATCH(B305,Planos_Contratos!$A$4:$A$203,0)),""))</x:f>
      </x:c>
      <x:c r="D305" s="68" t="str">
        <x:f>IF(B305="","",IFERROR(INDEX(Planos_Contratos!$C$4:$C$203,MATCH(B305,Planos_Contratos!$A$4:$A$203,0)),""))</x:f>
      </x:c>
      <x:c r="E305" s="72"/>
      <x:c r="F305" s="104"/>
      <x:c r="G305" s="64"/>
      <x:c r="H305" s="64"/>
      <x:c r="I305" s="92" t="str">
        <x:f>IF(B305="","",IFERROR(INDEX(Planos_Contratos!$G$4:$G$203,MATCH(B305,Planos_Contratos!$A$4:$A$203,0)),""))</x:f>
      </x:c>
    </x:row>
    <x:row r="306" ht="20" customHeight="1">
      <x:c r="A306" s="68" t="str">
        <x:f t="shared" si="4"/>
      </x:c>
      <x:c r="B306" s="64"/>
      <x:c r="C306" s="68" t="str">
        <x:f>IF(B306="","",IFERROR(INDEX(Planos_Contratos!$B$4:$B$203,MATCH(B306,Planos_Contratos!$A$4:$A$203,0)),""))</x:f>
      </x:c>
      <x:c r="D306" s="68" t="str">
        <x:f>IF(B306="","",IFERROR(INDEX(Planos_Contratos!$C$4:$C$203,MATCH(B306,Planos_Contratos!$A$4:$A$203,0)),""))</x:f>
      </x:c>
      <x:c r="E306" s="72"/>
      <x:c r="F306" s="104"/>
      <x:c r="G306" s="64"/>
      <x:c r="H306" s="64"/>
      <x:c r="I306" s="92" t="str">
        <x:f>IF(B306="","",IFERROR(INDEX(Planos_Contratos!$G$4:$G$203,MATCH(B306,Planos_Contratos!$A$4:$A$203,0)),""))</x:f>
      </x:c>
    </x:row>
    <x:row r="307" ht="20" customHeight="1">
      <x:c r="A307" s="68" t="str">
        <x:f t="shared" si="4"/>
      </x:c>
      <x:c r="B307" s="64"/>
      <x:c r="C307" s="68" t="str">
        <x:f>IF(B307="","",IFERROR(INDEX(Planos_Contratos!$B$4:$B$203,MATCH(B307,Planos_Contratos!$A$4:$A$203,0)),""))</x:f>
      </x:c>
      <x:c r="D307" s="68" t="str">
        <x:f>IF(B307="","",IFERROR(INDEX(Planos_Contratos!$C$4:$C$203,MATCH(B307,Planos_Contratos!$A$4:$A$203,0)),""))</x:f>
      </x:c>
      <x:c r="E307" s="72"/>
      <x:c r="F307" s="104"/>
      <x:c r="G307" s="64"/>
      <x:c r="H307" s="64"/>
      <x:c r="I307" s="92" t="str">
        <x:f>IF(B307="","",IFERROR(INDEX(Planos_Contratos!$G$4:$G$203,MATCH(B307,Planos_Contratos!$A$4:$A$203,0)),""))</x:f>
      </x:c>
    </x:row>
    <x:row r="308" ht="20" customHeight="1">
      <x:c r="A308" s="68" t="str">
        <x:f t="shared" si="4"/>
      </x:c>
      <x:c r="B308" s="64"/>
      <x:c r="C308" s="68" t="str">
        <x:f>IF(B308="","",IFERROR(INDEX(Planos_Contratos!$B$4:$B$203,MATCH(B308,Planos_Contratos!$A$4:$A$203,0)),""))</x:f>
      </x:c>
      <x:c r="D308" s="68" t="str">
        <x:f>IF(B308="","",IFERROR(INDEX(Planos_Contratos!$C$4:$C$203,MATCH(B308,Planos_Contratos!$A$4:$A$203,0)),""))</x:f>
      </x:c>
      <x:c r="E308" s="72"/>
      <x:c r="F308" s="104"/>
      <x:c r="G308" s="64"/>
      <x:c r="H308" s="64"/>
      <x:c r="I308" s="92" t="str">
        <x:f>IF(B308="","",IFERROR(INDEX(Planos_Contratos!$G$4:$G$203,MATCH(B308,Planos_Contratos!$A$4:$A$203,0)),""))</x:f>
      </x:c>
    </x:row>
    <x:row r="309" ht="20" customHeight="1">
      <x:c r="A309" s="68" t="str">
        <x:f t="shared" si="4"/>
      </x:c>
      <x:c r="B309" s="64"/>
      <x:c r="C309" s="68" t="str">
        <x:f>IF(B309="","",IFERROR(INDEX(Planos_Contratos!$B$4:$B$203,MATCH(B309,Planos_Contratos!$A$4:$A$203,0)),""))</x:f>
      </x:c>
      <x:c r="D309" s="68" t="str">
        <x:f>IF(B309="","",IFERROR(INDEX(Planos_Contratos!$C$4:$C$203,MATCH(B309,Planos_Contratos!$A$4:$A$203,0)),""))</x:f>
      </x:c>
      <x:c r="E309" s="72"/>
      <x:c r="F309" s="104"/>
      <x:c r="G309" s="64"/>
      <x:c r="H309" s="64"/>
      <x:c r="I309" s="92" t="str">
        <x:f>IF(B309="","",IFERROR(INDEX(Planos_Contratos!$G$4:$G$203,MATCH(B309,Planos_Contratos!$A$4:$A$203,0)),""))</x:f>
      </x:c>
    </x:row>
    <x:row r="310" ht="20" customHeight="1">
      <x:c r="A310" s="68" t="str">
        <x:f t="shared" si="4"/>
      </x:c>
      <x:c r="B310" s="64"/>
      <x:c r="C310" s="68" t="str">
        <x:f>IF(B310="","",IFERROR(INDEX(Planos_Contratos!$B$4:$B$203,MATCH(B310,Planos_Contratos!$A$4:$A$203,0)),""))</x:f>
      </x:c>
      <x:c r="D310" s="68" t="str">
        <x:f>IF(B310="","",IFERROR(INDEX(Planos_Contratos!$C$4:$C$203,MATCH(B310,Planos_Contratos!$A$4:$A$203,0)),""))</x:f>
      </x:c>
      <x:c r="E310" s="72"/>
      <x:c r="F310" s="104"/>
      <x:c r="G310" s="64"/>
      <x:c r="H310" s="64"/>
      <x:c r="I310" s="92" t="str">
        <x:f>IF(B310="","",IFERROR(INDEX(Planos_Contratos!$G$4:$G$203,MATCH(B310,Planos_Contratos!$A$4:$A$203,0)),""))</x:f>
      </x:c>
    </x:row>
    <x:row r="311" ht="20" customHeight="1">
      <x:c r="A311" s="68" t="str">
        <x:f t="shared" si="4"/>
      </x:c>
      <x:c r="B311" s="64"/>
      <x:c r="C311" s="68" t="str">
        <x:f>IF(B311="","",IFERROR(INDEX(Planos_Contratos!$B$4:$B$203,MATCH(B311,Planos_Contratos!$A$4:$A$203,0)),""))</x:f>
      </x:c>
      <x:c r="D311" s="68" t="str">
        <x:f>IF(B311="","",IFERROR(INDEX(Planos_Contratos!$C$4:$C$203,MATCH(B311,Planos_Contratos!$A$4:$A$203,0)),""))</x:f>
      </x:c>
      <x:c r="E311" s="72"/>
      <x:c r="F311" s="104"/>
      <x:c r="G311" s="64"/>
      <x:c r="H311" s="64"/>
      <x:c r="I311" s="92" t="str">
        <x:f>IF(B311="","",IFERROR(INDEX(Planos_Contratos!$G$4:$G$203,MATCH(B311,Planos_Contratos!$A$4:$A$203,0)),""))</x:f>
      </x:c>
    </x:row>
    <x:row r="312" ht="20" customHeight="1">
      <x:c r="A312" s="68" t="str">
        <x:f t="shared" si="4"/>
      </x:c>
      <x:c r="B312" s="64"/>
      <x:c r="C312" s="68" t="str">
        <x:f>IF(B312="","",IFERROR(INDEX(Planos_Contratos!$B$4:$B$203,MATCH(B312,Planos_Contratos!$A$4:$A$203,0)),""))</x:f>
      </x:c>
      <x:c r="D312" s="68" t="str">
        <x:f>IF(B312="","",IFERROR(INDEX(Planos_Contratos!$C$4:$C$203,MATCH(B312,Planos_Contratos!$A$4:$A$203,0)),""))</x:f>
      </x:c>
      <x:c r="E312" s="72"/>
      <x:c r="F312" s="104"/>
      <x:c r="G312" s="64"/>
      <x:c r="H312" s="64"/>
      <x:c r="I312" s="92" t="str">
        <x:f>IF(B312="","",IFERROR(INDEX(Planos_Contratos!$G$4:$G$203,MATCH(B312,Planos_Contratos!$A$4:$A$203,0)),""))</x:f>
      </x:c>
    </x:row>
    <x:row r="313" ht="20" customHeight="1">
      <x:c r="A313" s="68" t="str">
        <x:f t="shared" si="4"/>
      </x:c>
      <x:c r="B313" s="64"/>
      <x:c r="C313" s="68" t="str">
        <x:f>IF(B313="","",IFERROR(INDEX(Planos_Contratos!$B$4:$B$203,MATCH(B313,Planos_Contratos!$A$4:$A$203,0)),""))</x:f>
      </x:c>
      <x:c r="D313" s="68" t="str">
        <x:f>IF(B313="","",IFERROR(INDEX(Planos_Contratos!$C$4:$C$203,MATCH(B313,Planos_Contratos!$A$4:$A$203,0)),""))</x:f>
      </x:c>
      <x:c r="E313" s="72"/>
      <x:c r="F313" s="104"/>
      <x:c r="G313" s="64"/>
      <x:c r="H313" s="64"/>
      <x:c r="I313" s="92" t="str">
        <x:f>IF(B313="","",IFERROR(INDEX(Planos_Contratos!$G$4:$G$203,MATCH(B313,Planos_Contratos!$A$4:$A$203,0)),""))</x:f>
      </x:c>
    </x:row>
    <x:row r="314" ht="20" customHeight="1">
      <x:c r="A314" s="68" t="str">
        <x:f t="shared" si="4"/>
      </x:c>
      <x:c r="B314" s="64"/>
      <x:c r="C314" s="68" t="str">
        <x:f>IF(B314="","",IFERROR(INDEX(Planos_Contratos!$B$4:$B$203,MATCH(B314,Planos_Contratos!$A$4:$A$203,0)),""))</x:f>
      </x:c>
      <x:c r="D314" s="68" t="str">
        <x:f>IF(B314="","",IFERROR(INDEX(Planos_Contratos!$C$4:$C$203,MATCH(B314,Planos_Contratos!$A$4:$A$203,0)),""))</x:f>
      </x:c>
      <x:c r="E314" s="72"/>
      <x:c r="F314" s="104"/>
      <x:c r="G314" s="64"/>
      <x:c r="H314" s="64"/>
      <x:c r="I314" s="92" t="str">
        <x:f>IF(B314="","",IFERROR(INDEX(Planos_Contratos!$G$4:$G$203,MATCH(B314,Planos_Contratos!$A$4:$A$203,0)),""))</x:f>
      </x:c>
    </x:row>
    <x:row r="315" ht="20" customHeight="1">
      <x:c r="A315" s="68" t="str">
        <x:f t="shared" si="4"/>
      </x:c>
      <x:c r="B315" s="64"/>
      <x:c r="C315" s="68" t="str">
        <x:f>IF(B315="","",IFERROR(INDEX(Planos_Contratos!$B$4:$B$203,MATCH(B315,Planos_Contratos!$A$4:$A$203,0)),""))</x:f>
      </x:c>
      <x:c r="D315" s="68" t="str">
        <x:f>IF(B315="","",IFERROR(INDEX(Planos_Contratos!$C$4:$C$203,MATCH(B315,Planos_Contratos!$A$4:$A$203,0)),""))</x:f>
      </x:c>
      <x:c r="E315" s="72"/>
      <x:c r="F315" s="104"/>
      <x:c r="G315" s="64"/>
      <x:c r="H315" s="64"/>
      <x:c r="I315" s="92" t="str">
        <x:f>IF(B315="","",IFERROR(INDEX(Planos_Contratos!$G$4:$G$203,MATCH(B315,Planos_Contratos!$A$4:$A$203,0)),""))</x:f>
      </x:c>
    </x:row>
    <x:row r="316" ht="20" customHeight="1">
      <x:c r="A316" s="68" t="str">
        <x:f t="shared" si="4"/>
      </x:c>
      <x:c r="B316" s="64"/>
      <x:c r="C316" s="68" t="str">
        <x:f>IF(B316="","",IFERROR(INDEX(Planos_Contratos!$B$4:$B$203,MATCH(B316,Planos_Contratos!$A$4:$A$203,0)),""))</x:f>
      </x:c>
      <x:c r="D316" s="68" t="str">
        <x:f>IF(B316="","",IFERROR(INDEX(Planos_Contratos!$C$4:$C$203,MATCH(B316,Planos_Contratos!$A$4:$A$203,0)),""))</x:f>
      </x:c>
      <x:c r="E316" s="72"/>
      <x:c r="F316" s="104"/>
      <x:c r="G316" s="64"/>
      <x:c r="H316" s="64"/>
      <x:c r="I316" s="92" t="str">
        <x:f>IF(B316="","",IFERROR(INDEX(Planos_Contratos!$G$4:$G$203,MATCH(B316,Planos_Contratos!$A$4:$A$203,0)),""))</x:f>
      </x:c>
    </x:row>
    <x:row r="317" ht="20" customHeight="1">
      <x:c r="A317" s="68" t="str">
        <x:f t="shared" si="4"/>
      </x:c>
      <x:c r="B317" s="64"/>
      <x:c r="C317" s="68" t="str">
        <x:f>IF(B317="","",IFERROR(INDEX(Planos_Contratos!$B$4:$B$203,MATCH(B317,Planos_Contratos!$A$4:$A$203,0)),""))</x:f>
      </x:c>
      <x:c r="D317" s="68" t="str">
        <x:f>IF(B317="","",IFERROR(INDEX(Planos_Contratos!$C$4:$C$203,MATCH(B317,Planos_Contratos!$A$4:$A$203,0)),""))</x:f>
      </x:c>
      <x:c r="E317" s="72"/>
      <x:c r="F317" s="104"/>
      <x:c r="G317" s="64"/>
      <x:c r="H317" s="64"/>
      <x:c r="I317" s="92" t="str">
        <x:f>IF(B317="","",IFERROR(INDEX(Planos_Contratos!$G$4:$G$203,MATCH(B317,Planos_Contratos!$A$4:$A$203,0)),""))</x:f>
      </x:c>
    </x:row>
    <x:row r="318" ht="20" customHeight="1">
      <x:c r="A318" s="68" t="str">
        <x:f t="shared" si="4"/>
      </x:c>
      <x:c r="B318" s="64"/>
      <x:c r="C318" s="68" t="str">
        <x:f>IF(B318="","",IFERROR(INDEX(Planos_Contratos!$B$4:$B$203,MATCH(B318,Planos_Contratos!$A$4:$A$203,0)),""))</x:f>
      </x:c>
      <x:c r="D318" s="68" t="str">
        <x:f>IF(B318="","",IFERROR(INDEX(Planos_Contratos!$C$4:$C$203,MATCH(B318,Planos_Contratos!$A$4:$A$203,0)),""))</x:f>
      </x:c>
      <x:c r="E318" s="72"/>
      <x:c r="F318" s="104"/>
      <x:c r="G318" s="64"/>
      <x:c r="H318" s="64"/>
      <x:c r="I318" s="92" t="str">
        <x:f>IF(B318="","",IFERROR(INDEX(Planos_Contratos!$G$4:$G$203,MATCH(B318,Planos_Contratos!$A$4:$A$203,0)),""))</x:f>
      </x:c>
    </x:row>
    <x:row r="319" ht="20" customHeight="1">
      <x:c r="A319" s="68" t="str">
        <x:f t="shared" si="4"/>
      </x:c>
      <x:c r="B319" s="64"/>
      <x:c r="C319" s="68" t="str">
        <x:f>IF(B319="","",IFERROR(INDEX(Planos_Contratos!$B$4:$B$203,MATCH(B319,Planos_Contratos!$A$4:$A$203,0)),""))</x:f>
      </x:c>
      <x:c r="D319" s="68" t="str">
        <x:f>IF(B319="","",IFERROR(INDEX(Planos_Contratos!$C$4:$C$203,MATCH(B319,Planos_Contratos!$A$4:$A$203,0)),""))</x:f>
      </x:c>
      <x:c r="E319" s="72"/>
      <x:c r="F319" s="104"/>
      <x:c r="G319" s="64"/>
      <x:c r="H319" s="64"/>
      <x:c r="I319" s="92" t="str">
        <x:f>IF(B319="","",IFERROR(INDEX(Planos_Contratos!$G$4:$G$203,MATCH(B319,Planos_Contratos!$A$4:$A$203,0)),""))</x:f>
      </x:c>
    </x:row>
    <x:row r="320" ht="20" customHeight="1">
      <x:c r="A320" s="68" t="str">
        <x:f t="shared" si="4"/>
      </x:c>
      <x:c r="B320" s="64"/>
      <x:c r="C320" s="68" t="str">
        <x:f>IF(B320="","",IFERROR(INDEX(Planos_Contratos!$B$4:$B$203,MATCH(B320,Planos_Contratos!$A$4:$A$203,0)),""))</x:f>
      </x:c>
      <x:c r="D320" s="68" t="str">
        <x:f>IF(B320="","",IFERROR(INDEX(Planos_Contratos!$C$4:$C$203,MATCH(B320,Planos_Contratos!$A$4:$A$203,0)),""))</x:f>
      </x:c>
      <x:c r="E320" s="72"/>
      <x:c r="F320" s="104"/>
      <x:c r="G320" s="64"/>
      <x:c r="H320" s="64"/>
      <x:c r="I320" s="92" t="str">
        <x:f>IF(B320="","",IFERROR(INDEX(Planos_Contratos!$G$4:$G$203,MATCH(B320,Planos_Contratos!$A$4:$A$203,0)),""))</x:f>
      </x:c>
    </x:row>
    <x:row r="321" ht="20" customHeight="1">
      <x:c r="A321" s="68" t="str">
        <x:f t="shared" si="4"/>
      </x:c>
      <x:c r="B321" s="64"/>
      <x:c r="C321" s="68" t="str">
        <x:f>IF(B321="","",IFERROR(INDEX(Planos_Contratos!$B$4:$B$203,MATCH(B321,Planos_Contratos!$A$4:$A$203,0)),""))</x:f>
      </x:c>
      <x:c r="D321" s="68" t="str">
        <x:f>IF(B321="","",IFERROR(INDEX(Planos_Contratos!$C$4:$C$203,MATCH(B321,Planos_Contratos!$A$4:$A$203,0)),""))</x:f>
      </x:c>
      <x:c r="E321" s="72"/>
      <x:c r="F321" s="104"/>
      <x:c r="G321" s="64"/>
      <x:c r="H321" s="64"/>
      <x:c r="I321" s="92" t="str">
        <x:f>IF(B321="","",IFERROR(INDEX(Planos_Contratos!$G$4:$G$203,MATCH(B321,Planos_Contratos!$A$4:$A$203,0)),""))</x:f>
      </x:c>
    </x:row>
    <x:row r="322" ht="20" customHeight="1">
      <x:c r="A322" s="68" t="str">
        <x:f t="shared" si="4"/>
      </x:c>
      <x:c r="B322" s="64"/>
      <x:c r="C322" s="68" t="str">
        <x:f>IF(B322="","",IFERROR(INDEX(Planos_Contratos!$B$4:$B$203,MATCH(B322,Planos_Contratos!$A$4:$A$203,0)),""))</x:f>
      </x:c>
      <x:c r="D322" s="68" t="str">
        <x:f>IF(B322="","",IFERROR(INDEX(Planos_Contratos!$C$4:$C$203,MATCH(B322,Planos_Contratos!$A$4:$A$203,0)),""))</x:f>
      </x:c>
      <x:c r="E322" s="72"/>
      <x:c r="F322" s="104"/>
      <x:c r="G322" s="64"/>
      <x:c r="H322" s="64"/>
      <x:c r="I322" s="92" t="str">
        <x:f>IF(B322="","",IFERROR(INDEX(Planos_Contratos!$G$4:$G$203,MATCH(B322,Planos_Contratos!$A$4:$A$203,0)),""))</x:f>
      </x:c>
    </x:row>
    <x:row r="323" ht="20" customHeight="1">
      <x:c r="A323" s="68" t="str">
        <x:f t="shared" si="4"/>
      </x:c>
      <x:c r="B323" s="64"/>
      <x:c r="C323" s="68" t="str">
        <x:f>IF(B323="","",IFERROR(INDEX(Planos_Contratos!$B$4:$B$203,MATCH(B323,Planos_Contratos!$A$4:$A$203,0)),""))</x:f>
      </x:c>
      <x:c r="D323" s="68" t="str">
        <x:f>IF(B323="","",IFERROR(INDEX(Planos_Contratos!$C$4:$C$203,MATCH(B323,Planos_Contratos!$A$4:$A$203,0)),""))</x:f>
      </x:c>
      <x:c r="E323" s="72"/>
      <x:c r="F323" s="104"/>
      <x:c r="G323" s="64"/>
      <x:c r="H323" s="64"/>
      <x:c r="I323" s="92" t="str">
        <x:f>IF(B323="","",IFERROR(INDEX(Planos_Contratos!$G$4:$G$203,MATCH(B323,Planos_Contratos!$A$4:$A$203,0)),""))</x:f>
      </x:c>
    </x:row>
    <x:row r="324" ht="20" customHeight="1">
      <x:c r="A324" s="68" t="str">
        <x:f t="shared" ref="A324:A387" si="5">IF(B324="","",ROW()-3)</x:f>
      </x:c>
      <x:c r="B324" s="64"/>
      <x:c r="C324" s="68" t="str">
        <x:f>IF(B324="","",IFERROR(INDEX(Planos_Contratos!$B$4:$B$203,MATCH(B324,Planos_Contratos!$A$4:$A$203,0)),""))</x:f>
      </x:c>
      <x:c r="D324" s="68" t="str">
        <x:f>IF(B324="","",IFERROR(INDEX(Planos_Contratos!$C$4:$C$203,MATCH(B324,Planos_Contratos!$A$4:$A$203,0)),""))</x:f>
      </x:c>
      <x:c r="E324" s="72"/>
      <x:c r="F324" s="104"/>
      <x:c r="G324" s="64"/>
      <x:c r="H324" s="64"/>
      <x:c r="I324" s="92" t="str">
        <x:f>IF(B324="","",IFERROR(INDEX(Planos_Contratos!$G$4:$G$203,MATCH(B324,Planos_Contratos!$A$4:$A$203,0)),""))</x:f>
      </x:c>
    </x:row>
    <x:row r="325" ht="20" customHeight="1">
      <x:c r="A325" s="68" t="str">
        <x:f t="shared" si="5"/>
      </x:c>
      <x:c r="B325" s="64"/>
      <x:c r="C325" s="68" t="str">
        <x:f>IF(B325="","",IFERROR(INDEX(Planos_Contratos!$B$4:$B$203,MATCH(B325,Planos_Contratos!$A$4:$A$203,0)),""))</x:f>
      </x:c>
      <x:c r="D325" s="68" t="str">
        <x:f>IF(B325="","",IFERROR(INDEX(Planos_Contratos!$C$4:$C$203,MATCH(B325,Planos_Contratos!$A$4:$A$203,0)),""))</x:f>
      </x:c>
      <x:c r="E325" s="72"/>
      <x:c r="F325" s="104"/>
      <x:c r="G325" s="64"/>
      <x:c r="H325" s="64"/>
      <x:c r="I325" s="92" t="str">
        <x:f>IF(B325="","",IFERROR(INDEX(Planos_Contratos!$G$4:$G$203,MATCH(B325,Planos_Contratos!$A$4:$A$203,0)),""))</x:f>
      </x:c>
    </x:row>
    <x:row r="326" ht="20" customHeight="1">
      <x:c r="A326" s="68" t="str">
        <x:f t="shared" si="5"/>
      </x:c>
      <x:c r="B326" s="64"/>
      <x:c r="C326" s="68" t="str">
        <x:f>IF(B326="","",IFERROR(INDEX(Planos_Contratos!$B$4:$B$203,MATCH(B326,Planos_Contratos!$A$4:$A$203,0)),""))</x:f>
      </x:c>
      <x:c r="D326" s="68" t="str">
        <x:f>IF(B326="","",IFERROR(INDEX(Planos_Contratos!$C$4:$C$203,MATCH(B326,Planos_Contratos!$A$4:$A$203,0)),""))</x:f>
      </x:c>
      <x:c r="E326" s="72"/>
      <x:c r="F326" s="104"/>
      <x:c r="G326" s="64"/>
      <x:c r="H326" s="64"/>
      <x:c r="I326" s="92" t="str">
        <x:f>IF(B326="","",IFERROR(INDEX(Planos_Contratos!$G$4:$G$203,MATCH(B326,Planos_Contratos!$A$4:$A$203,0)),""))</x:f>
      </x:c>
    </x:row>
    <x:row r="327" ht="20" customHeight="1">
      <x:c r="A327" s="68" t="str">
        <x:f t="shared" si="5"/>
      </x:c>
      <x:c r="B327" s="64"/>
      <x:c r="C327" s="68" t="str">
        <x:f>IF(B327="","",IFERROR(INDEX(Planos_Contratos!$B$4:$B$203,MATCH(B327,Planos_Contratos!$A$4:$A$203,0)),""))</x:f>
      </x:c>
      <x:c r="D327" s="68" t="str">
        <x:f>IF(B327="","",IFERROR(INDEX(Planos_Contratos!$C$4:$C$203,MATCH(B327,Planos_Contratos!$A$4:$A$203,0)),""))</x:f>
      </x:c>
      <x:c r="E327" s="72"/>
      <x:c r="F327" s="104"/>
      <x:c r="G327" s="64"/>
      <x:c r="H327" s="64"/>
      <x:c r="I327" s="92" t="str">
        <x:f>IF(B327="","",IFERROR(INDEX(Planos_Contratos!$G$4:$G$203,MATCH(B327,Planos_Contratos!$A$4:$A$203,0)),""))</x:f>
      </x:c>
    </x:row>
    <x:row r="328" ht="20" customHeight="1">
      <x:c r="A328" s="68" t="str">
        <x:f t="shared" si="5"/>
      </x:c>
      <x:c r="B328" s="64"/>
      <x:c r="C328" s="68" t="str">
        <x:f>IF(B328="","",IFERROR(INDEX(Planos_Contratos!$B$4:$B$203,MATCH(B328,Planos_Contratos!$A$4:$A$203,0)),""))</x:f>
      </x:c>
      <x:c r="D328" s="68" t="str">
        <x:f>IF(B328="","",IFERROR(INDEX(Planos_Contratos!$C$4:$C$203,MATCH(B328,Planos_Contratos!$A$4:$A$203,0)),""))</x:f>
      </x:c>
      <x:c r="E328" s="72"/>
      <x:c r="F328" s="104"/>
      <x:c r="G328" s="64"/>
      <x:c r="H328" s="64"/>
      <x:c r="I328" s="92" t="str">
        <x:f>IF(B328="","",IFERROR(INDEX(Planos_Contratos!$G$4:$G$203,MATCH(B328,Planos_Contratos!$A$4:$A$203,0)),""))</x:f>
      </x:c>
    </x:row>
    <x:row r="329" ht="20" customHeight="1">
      <x:c r="A329" s="68" t="str">
        <x:f t="shared" si="5"/>
      </x:c>
      <x:c r="B329" s="64"/>
      <x:c r="C329" s="68" t="str">
        <x:f>IF(B329="","",IFERROR(INDEX(Planos_Contratos!$B$4:$B$203,MATCH(B329,Planos_Contratos!$A$4:$A$203,0)),""))</x:f>
      </x:c>
      <x:c r="D329" s="68" t="str">
        <x:f>IF(B329="","",IFERROR(INDEX(Planos_Contratos!$C$4:$C$203,MATCH(B329,Planos_Contratos!$A$4:$A$203,0)),""))</x:f>
      </x:c>
      <x:c r="E329" s="72"/>
      <x:c r="F329" s="104"/>
      <x:c r="G329" s="64"/>
      <x:c r="H329" s="64"/>
      <x:c r="I329" s="92" t="str">
        <x:f>IF(B329="","",IFERROR(INDEX(Planos_Contratos!$G$4:$G$203,MATCH(B329,Planos_Contratos!$A$4:$A$203,0)),""))</x:f>
      </x:c>
    </x:row>
    <x:row r="330" ht="20" customHeight="1">
      <x:c r="A330" s="68" t="str">
        <x:f t="shared" si="5"/>
      </x:c>
      <x:c r="B330" s="64"/>
      <x:c r="C330" s="68" t="str">
        <x:f>IF(B330="","",IFERROR(INDEX(Planos_Contratos!$B$4:$B$203,MATCH(B330,Planos_Contratos!$A$4:$A$203,0)),""))</x:f>
      </x:c>
      <x:c r="D330" s="68" t="str">
        <x:f>IF(B330="","",IFERROR(INDEX(Planos_Contratos!$C$4:$C$203,MATCH(B330,Planos_Contratos!$A$4:$A$203,0)),""))</x:f>
      </x:c>
      <x:c r="E330" s="72"/>
      <x:c r="F330" s="104"/>
      <x:c r="G330" s="64"/>
      <x:c r="H330" s="64"/>
      <x:c r="I330" s="92" t="str">
        <x:f>IF(B330="","",IFERROR(INDEX(Planos_Contratos!$G$4:$G$203,MATCH(B330,Planos_Contratos!$A$4:$A$203,0)),""))</x:f>
      </x:c>
    </x:row>
    <x:row r="331" ht="20" customHeight="1">
      <x:c r="A331" s="68" t="str">
        <x:f t="shared" si="5"/>
      </x:c>
      <x:c r="B331" s="64"/>
      <x:c r="C331" s="68" t="str">
        <x:f>IF(B331="","",IFERROR(INDEX(Planos_Contratos!$B$4:$B$203,MATCH(B331,Planos_Contratos!$A$4:$A$203,0)),""))</x:f>
      </x:c>
      <x:c r="D331" s="68" t="str">
        <x:f>IF(B331="","",IFERROR(INDEX(Planos_Contratos!$C$4:$C$203,MATCH(B331,Planos_Contratos!$A$4:$A$203,0)),""))</x:f>
      </x:c>
      <x:c r="E331" s="72"/>
      <x:c r="F331" s="104"/>
      <x:c r="G331" s="64"/>
      <x:c r="H331" s="64"/>
      <x:c r="I331" s="92" t="str">
        <x:f>IF(B331="","",IFERROR(INDEX(Planos_Contratos!$G$4:$G$203,MATCH(B331,Planos_Contratos!$A$4:$A$203,0)),""))</x:f>
      </x:c>
    </x:row>
    <x:row r="332" ht="20" customHeight="1">
      <x:c r="A332" s="68" t="str">
        <x:f t="shared" si="5"/>
      </x:c>
      <x:c r="B332" s="64"/>
      <x:c r="C332" s="68" t="str">
        <x:f>IF(B332="","",IFERROR(INDEX(Planos_Contratos!$B$4:$B$203,MATCH(B332,Planos_Contratos!$A$4:$A$203,0)),""))</x:f>
      </x:c>
      <x:c r="D332" s="68" t="str">
        <x:f>IF(B332="","",IFERROR(INDEX(Planos_Contratos!$C$4:$C$203,MATCH(B332,Planos_Contratos!$A$4:$A$203,0)),""))</x:f>
      </x:c>
      <x:c r="E332" s="72"/>
      <x:c r="F332" s="104"/>
      <x:c r="G332" s="64"/>
      <x:c r="H332" s="64"/>
      <x:c r="I332" s="92" t="str">
        <x:f>IF(B332="","",IFERROR(INDEX(Planos_Contratos!$G$4:$G$203,MATCH(B332,Planos_Contratos!$A$4:$A$203,0)),""))</x:f>
      </x:c>
    </x:row>
    <x:row r="333" ht="20" customHeight="1">
      <x:c r="A333" s="68" t="str">
        <x:f t="shared" si="5"/>
      </x:c>
      <x:c r="B333" s="64"/>
      <x:c r="C333" s="68" t="str">
        <x:f>IF(B333="","",IFERROR(INDEX(Planos_Contratos!$B$4:$B$203,MATCH(B333,Planos_Contratos!$A$4:$A$203,0)),""))</x:f>
      </x:c>
      <x:c r="D333" s="68" t="str">
        <x:f>IF(B333="","",IFERROR(INDEX(Planos_Contratos!$C$4:$C$203,MATCH(B333,Planos_Contratos!$A$4:$A$203,0)),""))</x:f>
      </x:c>
      <x:c r="E333" s="72"/>
      <x:c r="F333" s="104"/>
      <x:c r="G333" s="64"/>
      <x:c r="H333" s="64"/>
      <x:c r="I333" s="92" t="str">
        <x:f>IF(B333="","",IFERROR(INDEX(Planos_Contratos!$G$4:$G$203,MATCH(B333,Planos_Contratos!$A$4:$A$203,0)),""))</x:f>
      </x:c>
    </x:row>
    <x:row r="334" ht="20" customHeight="1">
      <x:c r="A334" s="68" t="str">
        <x:f t="shared" si="5"/>
      </x:c>
      <x:c r="B334" s="64"/>
      <x:c r="C334" s="68" t="str">
        <x:f>IF(B334="","",IFERROR(INDEX(Planos_Contratos!$B$4:$B$203,MATCH(B334,Planos_Contratos!$A$4:$A$203,0)),""))</x:f>
      </x:c>
      <x:c r="D334" s="68" t="str">
        <x:f>IF(B334="","",IFERROR(INDEX(Planos_Contratos!$C$4:$C$203,MATCH(B334,Planos_Contratos!$A$4:$A$203,0)),""))</x:f>
      </x:c>
      <x:c r="E334" s="72"/>
      <x:c r="F334" s="104"/>
      <x:c r="G334" s="64"/>
      <x:c r="H334" s="64"/>
      <x:c r="I334" s="92" t="str">
        <x:f>IF(B334="","",IFERROR(INDEX(Planos_Contratos!$G$4:$G$203,MATCH(B334,Planos_Contratos!$A$4:$A$203,0)),""))</x:f>
      </x:c>
    </x:row>
    <x:row r="335" ht="20" customHeight="1">
      <x:c r="A335" s="68" t="str">
        <x:f t="shared" si="5"/>
      </x:c>
      <x:c r="B335" s="64"/>
      <x:c r="C335" s="68" t="str">
        <x:f>IF(B335="","",IFERROR(INDEX(Planos_Contratos!$B$4:$B$203,MATCH(B335,Planos_Contratos!$A$4:$A$203,0)),""))</x:f>
      </x:c>
      <x:c r="D335" s="68" t="str">
        <x:f>IF(B335="","",IFERROR(INDEX(Planos_Contratos!$C$4:$C$203,MATCH(B335,Planos_Contratos!$A$4:$A$203,0)),""))</x:f>
      </x:c>
      <x:c r="E335" s="72"/>
      <x:c r="F335" s="104"/>
      <x:c r="G335" s="64"/>
      <x:c r="H335" s="64"/>
      <x:c r="I335" s="92" t="str">
        <x:f>IF(B335="","",IFERROR(INDEX(Planos_Contratos!$G$4:$G$203,MATCH(B335,Planos_Contratos!$A$4:$A$203,0)),""))</x:f>
      </x:c>
    </x:row>
    <x:row r="336" ht="20" customHeight="1">
      <x:c r="A336" s="68" t="str">
        <x:f t="shared" si="5"/>
      </x:c>
      <x:c r="B336" s="64"/>
      <x:c r="C336" s="68" t="str">
        <x:f>IF(B336="","",IFERROR(INDEX(Planos_Contratos!$B$4:$B$203,MATCH(B336,Planos_Contratos!$A$4:$A$203,0)),""))</x:f>
      </x:c>
      <x:c r="D336" s="68" t="str">
        <x:f>IF(B336="","",IFERROR(INDEX(Planos_Contratos!$C$4:$C$203,MATCH(B336,Planos_Contratos!$A$4:$A$203,0)),""))</x:f>
      </x:c>
      <x:c r="E336" s="72"/>
      <x:c r="F336" s="104"/>
      <x:c r="G336" s="64"/>
      <x:c r="H336" s="64"/>
      <x:c r="I336" s="92" t="str">
        <x:f>IF(B336="","",IFERROR(INDEX(Planos_Contratos!$G$4:$G$203,MATCH(B336,Planos_Contratos!$A$4:$A$203,0)),""))</x:f>
      </x:c>
    </x:row>
    <x:row r="337" ht="20" customHeight="1">
      <x:c r="A337" s="68" t="str">
        <x:f t="shared" si="5"/>
      </x:c>
      <x:c r="B337" s="64"/>
      <x:c r="C337" s="68" t="str">
        <x:f>IF(B337="","",IFERROR(INDEX(Planos_Contratos!$B$4:$B$203,MATCH(B337,Planos_Contratos!$A$4:$A$203,0)),""))</x:f>
      </x:c>
      <x:c r="D337" s="68" t="str">
        <x:f>IF(B337="","",IFERROR(INDEX(Planos_Contratos!$C$4:$C$203,MATCH(B337,Planos_Contratos!$A$4:$A$203,0)),""))</x:f>
      </x:c>
      <x:c r="E337" s="72"/>
      <x:c r="F337" s="104"/>
      <x:c r="G337" s="64"/>
      <x:c r="H337" s="64"/>
      <x:c r="I337" s="92" t="str">
        <x:f>IF(B337="","",IFERROR(INDEX(Planos_Contratos!$G$4:$G$203,MATCH(B337,Planos_Contratos!$A$4:$A$203,0)),""))</x:f>
      </x:c>
    </x:row>
    <x:row r="338" ht="20" customHeight="1">
      <x:c r="A338" s="68" t="str">
        <x:f t="shared" si="5"/>
      </x:c>
      <x:c r="B338" s="64"/>
      <x:c r="C338" s="68" t="str">
        <x:f>IF(B338="","",IFERROR(INDEX(Planos_Contratos!$B$4:$B$203,MATCH(B338,Planos_Contratos!$A$4:$A$203,0)),""))</x:f>
      </x:c>
      <x:c r="D338" s="68" t="str">
        <x:f>IF(B338="","",IFERROR(INDEX(Planos_Contratos!$C$4:$C$203,MATCH(B338,Planos_Contratos!$A$4:$A$203,0)),""))</x:f>
      </x:c>
      <x:c r="E338" s="72"/>
      <x:c r="F338" s="104"/>
      <x:c r="G338" s="64"/>
      <x:c r="H338" s="64"/>
      <x:c r="I338" s="92" t="str">
        <x:f>IF(B338="","",IFERROR(INDEX(Planos_Contratos!$G$4:$G$203,MATCH(B338,Planos_Contratos!$A$4:$A$203,0)),""))</x:f>
      </x:c>
    </x:row>
    <x:row r="339" ht="20" customHeight="1">
      <x:c r="A339" s="68" t="str">
        <x:f t="shared" si="5"/>
      </x:c>
      <x:c r="B339" s="64"/>
      <x:c r="C339" s="68" t="str">
        <x:f>IF(B339="","",IFERROR(INDEX(Planos_Contratos!$B$4:$B$203,MATCH(B339,Planos_Contratos!$A$4:$A$203,0)),""))</x:f>
      </x:c>
      <x:c r="D339" s="68" t="str">
        <x:f>IF(B339="","",IFERROR(INDEX(Planos_Contratos!$C$4:$C$203,MATCH(B339,Planos_Contratos!$A$4:$A$203,0)),""))</x:f>
      </x:c>
      <x:c r="E339" s="72"/>
      <x:c r="F339" s="104"/>
      <x:c r="G339" s="64"/>
      <x:c r="H339" s="64"/>
      <x:c r="I339" s="92" t="str">
        <x:f>IF(B339="","",IFERROR(INDEX(Planos_Contratos!$G$4:$G$203,MATCH(B339,Planos_Contratos!$A$4:$A$203,0)),""))</x:f>
      </x:c>
    </x:row>
    <x:row r="340" ht="20" customHeight="1">
      <x:c r="A340" s="68" t="str">
        <x:f t="shared" si="5"/>
      </x:c>
      <x:c r="B340" s="64"/>
      <x:c r="C340" s="68" t="str">
        <x:f>IF(B340="","",IFERROR(INDEX(Planos_Contratos!$B$4:$B$203,MATCH(B340,Planos_Contratos!$A$4:$A$203,0)),""))</x:f>
      </x:c>
      <x:c r="D340" s="68" t="str">
        <x:f>IF(B340="","",IFERROR(INDEX(Planos_Contratos!$C$4:$C$203,MATCH(B340,Planos_Contratos!$A$4:$A$203,0)),""))</x:f>
      </x:c>
      <x:c r="E340" s="72"/>
      <x:c r="F340" s="104"/>
      <x:c r="G340" s="64"/>
      <x:c r="H340" s="64"/>
      <x:c r="I340" s="92" t="str">
        <x:f>IF(B340="","",IFERROR(INDEX(Planos_Contratos!$G$4:$G$203,MATCH(B340,Planos_Contratos!$A$4:$A$203,0)),""))</x:f>
      </x:c>
    </x:row>
    <x:row r="341" ht="20" customHeight="1">
      <x:c r="A341" s="68" t="str">
        <x:f t="shared" si="5"/>
      </x:c>
      <x:c r="B341" s="64"/>
      <x:c r="C341" s="68" t="str">
        <x:f>IF(B341="","",IFERROR(INDEX(Planos_Contratos!$B$4:$B$203,MATCH(B341,Planos_Contratos!$A$4:$A$203,0)),""))</x:f>
      </x:c>
      <x:c r="D341" s="68" t="str">
        <x:f>IF(B341="","",IFERROR(INDEX(Planos_Contratos!$C$4:$C$203,MATCH(B341,Planos_Contratos!$A$4:$A$203,0)),""))</x:f>
      </x:c>
      <x:c r="E341" s="72"/>
      <x:c r="F341" s="104"/>
      <x:c r="G341" s="64"/>
      <x:c r="H341" s="64"/>
      <x:c r="I341" s="92" t="str">
        <x:f>IF(B341="","",IFERROR(INDEX(Planos_Contratos!$G$4:$G$203,MATCH(B341,Planos_Contratos!$A$4:$A$203,0)),""))</x:f>
      </x:c>
    </x:row>
    <x:row r="342" ht="20" customHeight="1">
      <x:c r="A342" s="68" t="str">
        <x:f t="shared" si="5"/>
      </x:c>
      <x:c r="B342" s="64"/>
      <x:c r="C342" s="68" t="str">
        <x:f>IF(B342="","",IFERROR(INDEX(Planos_Contratos!$B$4:$B$203,MATCH(B342,Planos_Contratos!$A$4:$A$203,0)),""))</x:f>
      </x:c>
      <x:c r="D342" s="68" t="str">
        <x:f>IF(B342="","",IFERROR(INDEX(Planos_Contratos!$C$4:$C$203,MATCH(B342,Planos_Contratos!$A$4:$A$203,0)),""))</x:f>
      </x:c>
      <x:c r="E342" s="72"/>
      <x:c r="F342" s="104"/>
      <x:c r="G342" s="64"/>
      <x:c r="H342" s="64"/>
      <x:c r="I342" s="92" t="str">
        <x:f>IF(B342="","",IFERROR(INDEX(Planos_Contratos!$G$4:$G$203,MATCH(B342,Planos_Contratos!$A$4:$A$203,0)),""))</x:f>
      </x:c>
    </x:row>
    <x:row r="343" ht="20" customHeight="1">
      <x:c r="A343" s="68" t="str">
        <x:f t="shared" si="5"/>
      </x:c>
      <x:c r="B343" s="64"/>
      <x:c r="C343" s="68" t="str">
        <x:f>IF(B343="","",IFERROR(INDEX(Planos_Contratos!$B$4:$B$203,MATCH(B343,Planos_Contratos!$A$4:$A$203,0)),""))</x:f>
      </x:c>
      <x:c r="D343" s="68" t="str">
        <x:f>IF(B343="","",IFERROR(INDEX(Planos_Contratos!$C$4:$C$203,MATCH(B343,Planos_Contratos!$A$4:$A$203,0)),""))</x:f>
      </x:c>
      <x:c r="E343" s="72"/>
      <x:c r="F343" s="104"/>
      <x:c r="G343" s="64"/>
      <x:c r="H343" s="64"/>
      <x:c r="I343" s="92" t="str">
        <x:f>IF(B343="","",IFERROR(INDEX(Planos_Contratos!$G$4:$G$203,MATCH(B343,Planos_Contratos!$A$4:$A$203,0)),""))</x:f>
      </x:c>
    </x:row>
    <x:row r="344" ht="20" customHeight="1">
      <x:c r="A344" s="68" t="str">
        <x:f t="shared" si="5"/>
      </x:c>
      <x:c r="B344" s="64"/>
      <x:c r="C344" s="68" t="str">
        <x:f>IF(B344="","",IFERROR(INDEX(Planos_Contratos!$B$4:$B$203,MATCH(B344,Planos_Contratos!$A$4:$A$203,0)),""))</x:f>
      </x:c>
      <x:c r="D344" s="68" t="str">
        <x:f>IF(B344="","",IFERROR(INDEX(Planos_Contratos!$C$4:$C$203,MATCH(B344,Planos_Contratos!$A$4:$A$203,0)),""))</x:f>
      </x:c>
      <x:c r="E344" s="72"/>
      <x:c r="F344" s="104"/>
      <x:c r="G344" s="64"/>
      <x:c r="H344" s="64"/>
      <x:c r="I344" s="92" t="str">
        <x:f>IF(B344="","",IFERROR(INDEX(Planos_Contratos!$G$4:$G$203,MATCH(B344,Planos_Contratos!$A$4:$A$203,0)),""))</x:f>
      </x:c>
    </x:row>
    <x:row r="345" ht="20" customHeight="1">
      <x:c r="A345" s="68" t="str">
        <x:f t="shared" si="5"/>
      </x:c>
      <x:c r="B345" s="64"/>
      <x:c r="C345" s="68" t="str">
        <x:f>IF(B345="","",IFERROR(INDEX(Planos_Contratos!$B$4:$B$203,MATCH(B345,Planos_Contratos!$A$4:$A$203,0)),""))</x:f>
      </x:c>
      <x:c r="D345" s="68" t="str">
        <x:f>IF(B345="","",IFERROR(INDEX(Planos_Contratos!$C$4:$C$203,MATCH(B345,Planos_Contratos!$A$4:$A$203,0)),""))</x:f>
      </x:c>
      <x:c r="E345" s="72"/>
      <x:c r="F345" s="104"/>
      <x:c r="G345" s="64"/>
      <x:c r="H345" s="64"/>
      <x:c r="I345" s="92" t="str">
        <x:f>IF(B345="","",IFERROR(INDEX(Planos_Contratos!$G$4:$G$203,MATCH(B345,Planos_Contratos!$A$4:$A$203,0)),""))</x:f>
      </x:c>
    </x:row>
    <x:row r="346" ht="20" customHeight="1">
      <x:c r="A346" s="68" t="str">
        <x:f t="shared" si="5"/>
      </x:c>
      <x:c r="B346" s="64"/>
      <x:c r="C346" s="68" t="str">
        <x:f>IF(B346="","",IFERROR(INDEX(Planos_Contratos!$B$4:$B$203,MATCH(B346,Planos_Contratos!$A$4:$A$203,0)),""))</x:f>
      </x:c>
      <x:c r="D346" s="68" t="str">
        <x:f>IF(B346="","",IFERROR(INDEX(Planos_Contratos!$C$4:$C$203,MATCH(B346,Planos_Contratos!$A$4:$A$203,0)),""))</x:f>
      </x:c>
      <x:c r="E346" s="72"/>
      <x:c r="F346" s="104"/>
      <x:c r="G346" s="64"/>
      <x:c r="H346" s="64"/>
      <x:c r="I346" s="92" t="str">
        <x:f>IF(B346="","",IFERROR(INDEX(Planos_Contratos!$G$4:$G$203,MATCH(B346,Planos_Contratos!$A$4:$A$203,0)),""))</x:f>
      </x:c>
    </x:row>
    <x:row r="347" ht="20" customHeight="1">
      <x:c r="A347" s="68" t="str">
        <x:f t="shared" si="5"/>
      </x:c>
      <x:c r="B347" s="64"/>
      <x:c r="C347" s="68" t="str">
        <x:f>IF(B347="","",IFERROR(INDEX(Planos_Contratos!$B$4:$B$203,MATCH(B347,Planos_Contratos!$A$4:$A$203,0)),""))</x:f>
      </x:c>
      <x:c r="D347" s="68" t="str">
        <x:f>IF(B347="","",IFERROR(INDEX(Planos_Contratos!$C$4:$C$203,MATCH(B347,Planos_Contratos!$A$4:$A$203,0)),""))</x:f>
      </x:c>
      <x:c r="E347" s="72"/>
      <x:c r="F347" s="104"/>
      <x:c r="G347" s="64"/>
      <x:c r="H347" s="64"/>
      <x:c r="I347" s="92" t="str">
        <x:f>IF(B347="","",IFERROR(INDEX(Planos_Contratos!$G$4:$G$203,MATCH(B347,Planos_Contratos!$A$4:$A$203,0)),""))</x:f>
      </x:c>
    </x:row>
    <x:row r="348" ht="20" customHeight="1">
      <x:c r="A348" s="68" t="str">
        <x:f t="shared" si="5"/>
      </x:c>
      <x:c r="B348" s="64"/>
      <x:c r="C348" s="68" t="str">
        <x:f>IF(B348="","",IFERROR(INDEX(Planos_Contratos!$B$4:$B$203,MATCH(B348,Planos_Contratos!$A$4:$A$203,0)),""))</x:f>
      </x:c>
      <x:c r="D348" s="68" t="str">
        <x:f>IF(B348="","",IFERROR(INDEX(Planos_Contratos!$C$4:$C$203,MATCH(B348,Planos_Contratos!$A$4:$A$203,0)),""))</x:f>
      </x:c>
      <x:c r="E348" s="72"/>
      <x:c r="F348" s="104"/>
      <x:c r="G348" s="64"/>
      <x:c r="H348" s="64"/>
      <x:c r="I348" s="92" t="str">
        <x:f>IF(B348="","",IFERROR(INDEX(Planos_Contratos!$G$4:$G$203,MATCH(B348,Planos_Contratos!$A$4:$A$203,0)),""))</x:f>
      </x:c>
    </x:row>
    <x:row r="349" ht="20" customHeight="1">
      <x:c r="A349" s="68" t="str">
        <x:f t="shared" si="5"/>
      </x:c>
      <x:c r="B349" s="64"/>
      <x:c r="C349" s="68" t="str">
        <x:f>IF(B349="","",IFERROR(INDEX(Planos_Contratos!$B$4:$B$203,MATCH(B349,Planos_Contratos!$A$4:$A$203,0)),""))</x:f>
      </x:c>
      <x:c r="D349" s="68" t="str">
        <x:f>IF(B349="","",IFERROR(INDEX(Planos_Contratos!$C$4:$C$203,MATCH(B349,Planos_Contratos!$A$4:$A$203,0)),""))</x:f>
      </x:c>
      <x:c r="E349" s="72"/>
      <x:c r="F349" s="104"/>
      <x:c r="G349" s="64"/>
      <x:c r="H349" s="64"/>
      <x:c r="I349" s="92" t="str">
        <x:f>IF(B349="","",IFERROR(INDEX(Planos_Contratos!$G$4:$G$203,MATCH(B349,Planos_Contratos!$A$4:$A$203,0)),""))</x:f>
      </x:c>
    </x:row>
    <x:row r="350" ht="20" customHeight="1">
      <x:c r="A350" s="68" t="str">
        <x:f t="shared" si="5"/>
      </x:c>
      <x:c r="B350" s="64"/>
      <x:c r="C350" s="68" t="str">
        <x:f>IF(B350="","",IFERROR(INDEX(Planos_Contratos!$B$4:$B$203,MATCH(B350,Planos_Contratos!$A$4:$A$203,0)),""))</x:f>
      </x:c>
      <x:c r="D350" s="68" t="str">
        <x:f>IF(B350="","",IFERROR(INDEX(Planos_Contratos!$C$4:$C$203,MATCH(B350,Planos_Contratos!$A$4:$A$203,0)),""))</x:f>
      </x:c>
      <x:c r="E350" s="72"/>
      <x:c r="F350" s="104"/>
      <x:c r="G350" s="64"/>
      <x:c r="H350" s="64"/>
      <x:c r="I350" s="92" t="str">
        <x:f>IF(B350="","",IFERROR(INDEX(Planos_Contratos!$G$4:$G$203,MATCH(B350,Planos_Contratos!$A$4:$A$203,0)),""))</x:f>
      </x:c>
    </x:row>
    <x:row r="351" ht="20" customHeight="1">
      <x:c r="A351" s="68" t="str">
        <x:f t="shared" si="5"/>
      </x:c>
      <x:c r="B351" s="64"/>
      <x:c r="C351" s="68" t="str">
        <x:f>IF(B351="","",IFERROR(INDEX(Planos_Contratos!$B$4:$B$203,MATCH(B351,Planos_Contratos!$A$4:$A$203,0)),""))</x:f>
      </x:c>
      <x:c r="D351" s="68" t="str">
        <x:f>IF(B351="","",IFERROR(INDEX(Planos_Contratos!$C$4:$C$203,MATCH(B351,Planos_Contratos!$A$4:$A$203,0)),""))</x:f>
      </x:c>
      <x:c r="E351" s="72"/>
      <x:c r="F351" s="104"/>
      <x:c r="G351" s="64"/>
      <x:c r="H351" s="64"/>
      <x:c r="I351" s="92" t="str">
        <x:f>IF(B351="","",IFERROR(INDEX(Planos_Contratos!$G$4:$G$203,MATCH(B351,Planos_Contratos!$A$4:$A$203,0)),""))</x:f>
      </x:c>
    </x:row>
    <x:row r="352" ht="20" customHeight="1">
      <x:c r="A352" s="68" t="str">
        <x:f t="shared" si="5"/>
      </x:c>
      <x:c r="B352" s="64"/>
      <x:c r="C352" s="68" t="str">
        <x:f>IF(B352="","",IFERROR(INDEX(Planos_Contratos!$B$4:$B$203,MATCH(B352,Planos_Contratos!$A$4:$A$203,0)),""))</x:f>
      </x:c>
      <x:c r="D352" s="68" t="str">
        <x:f>IF(B352="","",IFERROR(INDEX(Planos_Contratos!$C$4:$C$203,MATCH(B352,Planos_Contratos!$A$4:$A$203,0)),""))</x:f>
      </x:c>
      <x:c r="E352" s="72"/>
      <x:c r="F352" s="104"/>
      <x:c r="G352" s="64"/>
      <x:c r="H352" s="64"/>
      <x:c r="I352" s="92" t="str">
        <x:f>IF(B352="","",IFERROR(INDEX(Planos_Contratos!$G$4:$G$203,MATCH(B352,Planos_Contratos!$A$4:$A$203,0)),""))</x:f>
      </x:c>
    </x:row>
    <x:row r="353" ht="20" customHeight="1">
      <x:c r="A353" s="68" t="str">
        <x:f t="shared" si="5"/>
      </x:c>
      <x:c r="B353" s="64"/>
      <x:c r="C353" s="68" t="str">
        <x:f>IF(B353="","",IFERROR(INDEX(Planos_Contratos!$B$4:$B$203,MATCH(B353,Planos_Contratos!$A$4:$A$203,0)),""))</x:f>
      </x:c>
      <x:c r="D353" s="68" t="str">
        <x:f>IF(B353="","",IFERROR(INDEX(Planos_Contratos!$C$4:$C$203,MATCH(B353,Planos_Contratos!$A$4:$A$203,0)),""))</x:f>
      </x:c>
      <x:c r="E353" s="72"/>
      <x:c r="F353" s="104"/>
      <x:c r="G353" s="64"/>
      <x:c r="H353" s="64"/>
      <x:c r="I353" s="92" t="str">
        <x:f>IF(B353="","",IFERROR(INDEX(Planos_Contratos!$G$4:$G$203,MATCH(B353,Planos_Contratos!$A$4:$A$203,0)),""))</x:f>
      </x:c>
    </x:row>
    <x:row r="354" ht="20" customHeight="1">
      <x:c r="A354" s="68" t="str">
        <x:f t="shared" si="5"/>
      </x:c>
      <x:c r="B354" s="64"/>
      <x:c r="C354" s="68" t="str">
        <x:f>IF(B354="","",IFERROR(INDEX(Planos_Contratos!$B$4:$B$203,MATCH(B354,Planos_Contratos!$A$4:$A$203,0)),""))</x:f>
      </x:c>
      <x:c r="D354" s="68" t="str">
        <x:f>IF(B354="","",IFERROR(INDEX(Planos_Contratos!$C$4:$C$203,MATCH(B354,Planos_Contratos!$A$4:$A$203,0)),""))</x:f>
      </x:c>
      <x:c r="E354" s="72"/>
      <x:c r="F354" s="104"/>
      <x:c r="G354" s="64"/>
      <x:c r="H354" s="64"/>
      <x:c r="I354" s="92" t="str">
        <x:f>IF(B354="","",IFERROR(INDEX(Planos_Contratos!$G$4:$G$203,MATCH(B354,Planos_Contratos!$A$4:$A$203,0)),""))</x:f>
      </x:c>
    </x:row>
    <x:row r="355" ht="20" customHeight="1">
      <x:c r="A355" s="68" t="str">
        <x:f t="shared" si="5"/>
      </x:c>
      <x:c r="B355" s="64"/>
      <x:c r="C355" s="68" t="str">
        <x:f>IF(B355="","",IFERROR(INDEX(Planos_Contratos!$B$4:$B$203,MATCH(B355,Planos_Contratos!$A$4:$A$203,0)),""))</x:f>
      </x:c>
      <x:c r="D355" s="68" t="str">
        <x:f>IF(B355="","",IFERROR(INDEX(Planos_Contratos!$C$4:$C$203,MATCH(B355,Planos_Contratos!$A$4:$A$203,0)),""))</x:f>
      </x:c>
      <x:c r="E355" s="72"/>
      <x:c r="F355" s="104"/>
      <x:c r="G355" s="64"/>
      <x:c r="H355" s="64"/>
      <x:c r="I355" s="92" t="str">
        <x:f>IF(B355="","",IFERROR(INDEX(Planos_Contratos!$G$4:$G$203,MATCH(B355,Planos_Contratos!$A$4:$A$203,0)),""))</x:f>
      </x:c>
    </x:row>
    <x:row r="356" ht="20" customHeight="1">
      <x:c r="A356" s="68" t="str">
        <x:f t="shared" si="5"/>
      </x:c>
      <x:c r="B356" s="64"/>
      <x:c r="C356" s="68" t="str">
        <x:f>IF(B356="","",IFERROR(INDEX(Planos_Contratos!$B$4:$B$203,MATCH(B356,Planos_Contratos!$A$4:$A$203,0)),""))</x:f>
      </x:c>
      <x:c r="D356" s="68" t="str">
        <x:f>IF(B356="","",IFERROR(INDEX(Planos_Contratos!$C$4:$C$203,MATCH(B356,Planos_Contratos!$A$4:$A$203,0)),""))</x:f>
      </x:c>
      <x:c r="E356" s="72"/>
      <x:c r="F356" s="104"/>
      <x:c r="G356" s="64"/>
      <x:c r="H356" s="64"/>
      <x:c r="I356" s="92" t="str">
        <x:f>IF(B356="","",IFERROR(INDEX(Planos_Contratos!$G$4:$G$203,MATCH(B356,Planos_Contratos!$A$4:$A$203,0)),""))</x:f>
      </x:c>
    </x:row>
    <x:row r="357" ht="20" customHeight="1">
      <x:c r="A357" s="68" t="str">
        <x:f t="shared" si="5"/>
      </x:c>
      <x:c r="B357" s="64"/>
      <x:c r="C357" s="68" t="str">
        <x:f>IF(B357="","",IFERROR(INDEX(Planos_Contratos!$B$4:$B$203,MATCH(B357,Planos_Contratos!$A$4:$A$203,0)),""))</x:f>
      </x:c>
      <x:c r="D357" s="68" t="str">
        <x:f>IF(B357="","",IFERROR(INDEX(Planos_Contratos!$C$4:$C$203,MATCH(B357,Planos_Contratos!$A$4:$A$203,0)),""))</x:f>
      </x:c>
      <x:c r="E357" s="72"/>
      <x:c r="F357" s="104"/>
      <x:c r="G357" s="64"/>
      <x:c r="H357" s="64"/>
      <x:c r="I357" s="92" t="str">
        <x:f>IF(B357="","",IFERROR(INDEX(Planos_Contratos!$G$4:$G$203,MATCH(B357,Planos_Contratos!$A$4:$A$203,0)),""))</x:f>
      </x:c>
    </x:row>
    <x:row r="358" ht="20" customHeight="1">
      <x:c r="A358" s="68" t="str">
        <x:f t="shared" si="5"/>
      </x:c>
      <x:c r="B358" s="64"/>
      <x:c r="C358" s="68" t="str">
        <x:f>IF(B358="","",IFERROR(INDEX(Planos_Contratos!$B$4:$B$203,MATCH(B358,Planos_Contratos!$A$4:$A$203,0)),""))</x:f>
      </x:c>
      <x:c r="D358" s="68" t="str">
        <x:f>IF(B358="","",IFERROR(INDEX(Planos_Contratos!$C$4:$C$203,MATCH(B358,Planos_Contratos!$A$4:$A$203,0)),""))</x:f>
      </x:c>
      <x:c r="E358" s="72"/>
      <x:c r="F358" s="104"/>
      <x:c r="G358" s="64"/>
      <x:c r="H358" s="64"/>
      <x:c r="I358" s="92" t="str">
        <x:f>IF(B358="","",IFERROR(INDEX(Planos_Contratos!$G$4:$G$203,MATCH(B358,Planos_Contratos!$A$4:$A$203,0)),""))</x:f>
      </x:c>
    </x:row>
    <x:row r="359" ht="20" customHeight="1">
      <x:c r="A359" s="68" t="str">
        <x:f t="shared" si="5"/>
      </x:c>
      <x:c r="B359" s="64"/>
      <x:c r="C359" s="68" t="str">
        <x:f>IF(B359="","",IFERROR(INDEX(Planos_Contratos!$B$4:$B$203,MATCH(B359,Planos_Contratos!$A$4:$A$203,0)),""))</x:f>
      </x:c>
      <x:c r="D359" s="68" t="str">
        <x:f>IF(B359="","",IFERROR(INDEX(Planos_Contratos!$C$4:$C$203,MATCH(B359,Planos_Contratos!$A$4:$A$203,0)),""))</x:f>
      </x:c>
      <x:c r="E359" s="72"/>
      <x:c r="F359" s="104"/>
      <x:c r="G359" s="64"/>
      <x:c r="H359" s="64"/>
      <x:c r="I359" s="92" t="str">
        <x:f>IF(B359="","",IFERROR(INDEX(Planos_Contratos!$G$4:$G$203,MATCH(B359,Planos_Contratos!$A$4:$A$203,0)),""))</x:f>
      </x:c>
    </x:row>
    <x:row r="360" ht="20" customHeight="1">
      <x:c r="A360" s="68" t="str">
        <x:f t="shared" si="5"/>
      </x:c>
      <x:c r="B360" s="64"/>
      <x:c r="C360" s="68" t="str">
        <x:f>IF(B360="","",IFERROR(INDEX(Planos_Contratos!$B$4:$B$203,MATCH(B360,Planos_Contratos!$A$4:$A$203,0)),""))</x:f>
      </x:c>
      <x:c r="D360" s="68" t="str">
        <x:f>IF(B360="","",IFERROR(INDEX(Planos_Contratos!$C$4:$C$203,MATCH(B360,Planos_Contratos!$A$4:$A$203,0)),""))</x:f>
      </x:c>
      <x:c r="E360" s="72"/>
      <x:c r="F360" s="104"/>
      <x:c r="G360" s="64"/>
      <x:c r="H360" s="64"/>
      <x:c r="I360" s="92" t="str">
        <x:f>IF(B360="","",IFERROR(INDEX(Planos_Contratos!$G$4:$G$203,MATCH(B360,Planos_Contratos!$A$4:$A$203,0)),""))</x:f>
      </x:c>
    </x:row>
    <x:row r="361" ht="20" customHeight="1">
      <x:c r="A361" s="68" t="str">
        <x:f t="shared" si="5"/>
      </x:c>
      <x:c r="B361" s="64"/>
      <x:c r="C361" s="68" t="str">
        <x:f>IF(B361="","",IFERROR(INDEX(Planos_Contratos!$B$4:$B$203,MATCH(B361,Planos_Contratos!$A$4:$A$203,0)),""))</x:f>
      </x:c>
      <x:c r="D361" s="68" t="str">
        <x:f>IF(B361="","",IFERROR(INDEX(Planos_Contratos!$C$4:$C$203,MATCH(B361,Planos_Contratos!$A$4:$A$203,0)),""))</x:f>
      </x:c>
      <x:c r="E361" s="72"/>
      <x:c r="F361" s="104"/>
      <x:c r="G361" s="64"/>
      <x:c r="H361" s="64"/>
      <x:c r="I361" s="92" t="str">
        <x:f>IF(B361="","",IFERROR(INDEX(Planos_Contratos!$G$4:$G$203,MATCH(B361,Planos_Contratos!$A$4:$A$203,0)),""))</x:f>
      </x:c>
    </x:row>
    <x:row r="362" ht="20" customHeight="1">
      <x:c r="A362" s="68" t="str">
        <x:f t="shared" si="5"/>
      </x:c>
      <x:c r="B362" s="64"/>
      <x:c r="C362" s="68" t="str">
        <x:f>IF(B362="","",IFERROR(INDEX(Planos_Contratos!$B$4:$B$203,MATCH(B362,Planos_Contratos!$A$4:$A$203,0)),""))</x:f>
      </x:c>
      <x:c r="D362" s="68" t="str">
        <x:f>IF(B362="","",IFERROR(INDEX(Planos_Contratos!$C$4:$C$203,MATCH(B362,Planos_Contratos!$A$4:$A$203,0)),""))</x:f>
      </x:c>
      <x:c r="E362" s="72"/>
      <x:c r="F362" s="104"/>
      <x:c r="G362" s="64"/>
      <x:c r="H362" s="64"/>
      <x:c r="I362" s="92" t="str">
        <x:f>IF(B362="","",IFERROR(INDEX(Planos_Contratos!$G$4:$G$203,MATCH(B362,Planos_Contratos!$A$4:$A$203,0)),""))</x:f>
      </x:c>
    </x:row>
    <x:row r="363" ht="20" customHeight="1">
      <x:c r="A363" s="68" t="str">
        <x:f t="shared" si="5"/>
      </x:c>
      <x:c r="B363" s="64"/>
      <x:c r="C363" s="68" t="str">
        <x:f>IF(B363="","",IFERROR(INDEX(Planos_Contratos!$B$4:$B$203,MATCH(B363,Planos_Contratos!$A$4:$A$203,0)),""))</x:f>
      </x:c>
      <x:c r="D363" s="68" t="str">
        <x:f>IF(B363="","",IFERROR(INDEX(Planos_Contratos!$C$4:$C$203,MATCH(B363,Planos_Contratos!$A$4:$A$203,0)),""))</x:f>
      </x:c>
      <x:c r="E363" s="72"/>
      <x:c r="F363" s="104"/>
      <x:c r="G363" s="64"/>
      <x:c r="H363" s="64"/>
      <x:c r="I363" s="92" t="str">
        <x:f>IF(B363="","",IFERROR(INDEX(Planos_Contratos!$G$4:$G$203,MATCH(B363,Planos_Contratos!$A$4:$A$203,0)),""))</x:f>
      </x:c>
    </x:row>
    <x:row r="364" ht="20" customHeight="1">
      <x:c r="A364" s="68" t="str">
        <x:f t="shared" si="5"/>
      </x:c>
      <x:c r="B364" s="64"/>
      <x:c r="C364" s="68" t="str">
        <x:f>IF(B364="","",IFERROR(INDEX(Planos_Contratos!$B$4:$B$203,MATCH(B364,Planos_Contratos!$A$4:$A$203,0)),""))</x:f>
      </x:c>
      <x:c r="D364" s="68" t="str">
        <x:f>IF(B364="","",IFERROR(INDEX(Planos_Contratos!$C$4:$C$203,MATCH(B364,Planos_Contratos!$A$4:$A$203,0)),""))</x:f>
      </x:c>
      <x:c r="E364" s="72"/>
      <x:c r="F364" s="104"/>
      <x:c r="G364" s="64"/>
      <x:c r="H364" s="64"/>
      <x:c r="I364" s="92" t="str">
        <x:f>IF(B364="","",IFERROR(INDEX(Planos_Contratos!$G$4:$G$203,MATCH(B364,Planos_Contratos!$A$4:$A$203,0)),""))</x:f>
      </x:c>
    </x:row>
    <x:row r="365" ht="20" customHeight="1">
      <x:c r="A365" s="68" t="str">
        <x:f t="shared" si="5"/>
      </x:c>
      <x:c r="B365" s="64"/>
      <x:c r="C365" s="68" t="str">
        <x:f>IF(B365="","",IFERROR(INDEX(Planos_Contratos!$B$4:$B$203,MATCH(B365,Planos_Contratos!$A$4:$A$203,0)),""))</x:f>
      </x:c>
      <x:c r="D365" s="68" t="str">
        <x:f>IF(B365="","",IFERROR(INDEX(Planos_Contratos!$C$4:$C$203,MATCH(B365,Planos_Contratos!$A$4:$A$203,0)),""))</x:f>
      </x:c>
      <x:c r="E365" s="72"/>
      <x:c r="F365" s="104"/>
      <x:c r="G365" s="64"/>
      <x:c r="H365" s="64"/>
      <x:c r="I365" s="92" t="str">
        <x:f>IF(B365="","",IFERROR(INDEX(Planos_Contratos!$G$4:$G$203,MATCH(B365,Planos_Contratos!$A$4:$A$203,0)),""))</x:f>
      </x:c>
    </x:row>
    <x:row r="366" ht="20" customHeight="1">
      <x:c r="A366" s="68" t="str">
        <x:f t="shared" si="5"/>
      </x:c>
      <x:c r="B366" s="64"/>
      <x:c r="C366" s="68" t="str">
        <x:f>IF(B366="","",IFERROR(INDEX(Planos_Contratos!$B$4:$B$203,MATCH(B366,Planos_Contratos!$A$4:$A$203,0)),""))</x:f>
      </x:c>
      <x:c r="D366" s="68" t="str">
        <x:f>IF(B366="","",IFERROR(INDEX(Planos_Contratos!$C$4:$C$203,MATCH(B366,Planos_Contratos!$A$4:$A$203,0)),""))</x:f>
      </x:c>
      <x:c r="E366" s="72"/>
      <x:c r="F366" s="104"/>
      <x:c r="G366" s="64"/>
      <x:c r="H366" s="64"/>
      <x:c r="I366" s="92" t="str">
        <x:f>IF(B366="","",IFERROR(INDEX(Planos_Contratos!$G$4:$G$203,MATCH(B366,Planos_Contratos!$A$4:$A$203,0)),""))</x:f>
      </x:c>
    </x:row>
    <x:row r="367" ht="20" customHeight="1">
      <x:c r="A367" s="68" t="str">
        <x:f t="shared" si="5"/>
      </x:c>
      <x:c r="B367" s="64"/>
      <x:c r="C367" s="68" t="str">
        <x:f>IF(B367="","",IFERROR(INDEX(Planos_Contratos!$B$4:$B$203,MATCH(B367,Planos_Contratos!$A$4:$A$203,0)),""))</x:f>
      </x:c>
      <x:c r="D367" s="68" t="str">
        <x:f>IF(B367="","",IFERROR(INDEX(Planos_Contratos!$C$4:$C$203,MATCH(B367,Planos_Contratos!$A$4:$A$203,0)),""))</x:f>
      </x:c>
      <x:c r="E367" s="72"/>
      <x:c r="F367" s="104"/>
      <x:c r="G367" s="64"/>
      <x:c r="H367" s="64"/>
      <x:c r="I367" s="92" t="str">
        <x:f>IF(B367="","",IFERROR(INDEX(Planos_Contratos!$G$4:$G$203,MATCH(B367,Planos_Contratos!$A$4:$A$203,0)),""))</x:f>
      </x:c>
    </x:row>
    <x:row r="368" ht="20" customHeight="1">
      <x:c r="A368" s="68" t="str">
        <x:f t="shared" si="5"/>
      </x:c>
      <x:c r="B368" s="64"/>
      <x:c r="C368" s="68" t="str">
        <x:f>IF(B368="","",IFERROR(INDEX(Planos_Contratos!$B$4:$B$203,MATCH(B368,Planos_Contratos!$A$4:$A$203,0)),""))</x:f>
      </x:c>
      <x:c r="D368" s="68" t="str">
        <x:f>IF(B368="","",IFERROR(INDEX(Planos_Contratos!$C$4:$C$203,MATCH(B368,Planos_Contratos!$A$4:$A$203,0)),""))</x:f>
      </x:c>
      <x:c r="E368" s="72"/>
      <x:c r="F368" s="104"/>
      <x:c r="G368" s="64"/>
      <x:c r="H368" s="64"/>
      <x:c r="I368" s="92" t="str">
        <x:f>IF(B368="","",IFERROR(INDEX(Planos_Contratos!$G$4:$G$203,MATCH(B368,Planos_Contratos!$A$4:$A$203,0)),""))</x:f>
      </x:c>
    </x:row>
    <x:row r="369" ht="20" customHeight="1">
      <x:c r="A369" s="68" t="str">
        <x:f t="shared" si="5"/>
      </x:c>
      <x:c r="B369" s="64"/>
      <x:c r="C369" s="68" t="str">
        <x:f>IF(B369="","",IFERROR(INDEX(Planos_Contratos!$B$4:$B$203,MATCH(B369,Planos_Contratos!$A$4:$A$203,0)),""))</x:f>
      </x:c>
      <x:c r="D369" s="68" t="str">
        <x:f>IF(B369="","",IFERROR(INDEX(Planos_Contratos!$C$4:$C$203,MATCH(B369,Planos_Contratos!$A$4:$A$203,0)),""))</x:f>
      </x:c>
      <x:c r="E369" s="72"/>
      <x:c r="F369" s="104"/>
      <x:c r="G369" s="64"/>
      <x:c r="H369" s="64"/>
      <x:c r="I369" s="92" t="str">
        <x:f>IF(B369="","",IFERROR(INDEX(Planos_Contratos!$G$4:$G$203,MATCH(B369,Planos_Contratos!$A$4:$A$203,0)),""))</x:f>
      </x:c>
    </x:row>
    <x:row r="370" ht="20" customHeight="1">
      <x:c r="A370" s="68" t="str">
        <x:f t="shared" si="5"/>
      </x:c>
      <x:c r="B370" s="64"/>
      <x:c r="C370" s="68" t="str">
        <x:f>IF(B370="","",IFERROR(INDEX(Planos_Contratos!$B$4:$B$203,MATCH(B370,Planos_Contratos!$A$4:$A$203,0)),""))</x:f>
      </x:c>
      <x:c r="D370" s="68" t="str">
        <x:f>IF(B370="","",IFERROR(INDEX(Planos_Contratos!$C$4:$C$203,MATCH(B370,Planos_Contratos!$A$4:$A$203,0)),""))</x:f>
      </x:c>
      <x:c r="E370" s="72"/>
      <x:c r="F370" s="104"/>
      <x:c r="G370" s="64"/>
      <x:c r="H370" s="64"/>
      <x:c r="I370" s="92" t="str">
        <x:f>IF(B370="","",IFERROR(INDEX(Planos_Contratos!$G$4:$G$203,MATCH(B370,Planos_Contratos!$A$4:$A$203,0)),""))</x:f>
      </x:c>
    </x:row>
    <x:row r="371" ht="20" customHeight="1">
      <x:c r="A371" s="68" t="str">
        <x:f t="shared" si="5"/>
      </x:c>
      <x:c r="B371" s="64"/>
      <x:c r="C371" s="68" t="str">
        <x:f>IF(B371="","",IFERROR(INDEX(Planos_Contratos!$B$4:$B$203,MATCH(B371,Planos_Contratos!$A$4:$A$203,0)),""))</x:f>
      </x:c>
      <x:c r="D371" s="68" t="str">
        <x:f>IF(B371="","",IFERROR(INDEX(Planos_Contratos!$C$4:$C$203,MATCH(B371,Planos_Contratos!$A$4:$A$203,0)),""))</x:f>
      </x:c>
      <x:c r="E371" s="72"/>
      <x:c r="F371" s="104"/>
      <x:c r="G371" s="64"/>
      <x:c r="H371" s="64"/>
      <x:c r="I371" s="92" t="str">
        <x:f>IF(B371="","",IFERROR(INDEX(Planos_Contratos!$G$4:$G$203,MATCH(B371,Planos_Contratos!$A$4:$A$203,0)),""))</x:f>
      </x:c>
    </x:row>
    <x:row r="372" ht="20" customHeight="1">
      <x:c r="A372" s="68" t="str">
        <x:f t="shared" si="5"/>
      </x:c>
      <x:c r="B372" s="64"/>
      <x:c r="C372" s="68" t="str">
        <x:f>IF(B372="","",IFERROR(INDEX(Planos_Contratos!$B$4:$B$203,MATCH(B372,Planos_Contratos!$A$4:$A$203,0)),""))</x:f>
      </x:c>
      <x:c r="D372" s="68" t="str">
        <x:f>IF(B372="","",IFERROR(INDEX(Planos_Contratos!$C$4:$C$203,MATCH(B372,Planos_Contratos!$A$4:$A$203,0)),""))</x:f>
      </x:c>
      <x:c r="E372" s="72"/>
      <x:c r="F372" s="104"/>
      <x:c r="G372" s="64"/>
      <x:c r="H372" s="64"/>
      <x:c r="I372" s="92" t="str">
        <x:f>IF(B372="","",IFERROR(INDEX(Planos_Contratos!$G$4:$G$203,MATCH(B372,Planos_Contratos!$A$4:$A$203,0)),""))</x:f>
      </x:c>
    </x:row>
    <x:row r="373" ht="20" customHeight="1">
      <x:c r="A373" s="68" t="str">
        <x:f t="shared" si="5"/>
      </x:c>
      <x:c r="B373" s="64"/>
      <x:c r="C373" s="68" t="str">
        <x:f>IF(B373="","",IFERROR(INDEX(Planos_Contratos!$B$4:$B$203,MATCH(B373,Planos_Contratos!$A$4:$A$203,0)),""))</x:f>
      </x:c>
      <x:c r="D373" s="68" t="str">
        <x:f>IF(B373="","",IFERROR(INDEX(Planos_Contratos!$C$4:$C$203,MATCH(B373,Planos_Contratos!$A$4:$A$203,0)),""))</x:f>
      </x:c>
      <x:c r="E373" s="72"/>
      <x:c r="F373" s="104"/>
      <x:c r="G373" s="64"/>
      <x:c r="H373" s="64"/>
      <x:c r="I373" s="92" t="str">
        <x:f>IF(B373="","",IFERROR(INDEX(Planos_Contratos!$G$4:$G$203,MATCH(B373,Planos_Contratos!$A$4:$A$203,0)),""))</x:f>
      </x:c>
    </x:row>
    <x:row r="374" ht="20" customHeight="1">
      <x:c r="A374" s="68" t="str">
        <x:f t="shared" si="5"/>
      </x:c>
      <x:c r="B374" s="64"/>
      <x:c r="C374" s="68" t="str">
        <x:f>IF(B374="","",IFERROR(INDEX(Planos_Contratos!$B$4:$B$203,MATCH(B374,Planos_Contratos!$A$4:$A$203,0)),""))</x:f>
      </x:c>
      <x:c r="D374" s="68" t="str">
        <x:f>IF(B374="","",IFERROR(INDEX(Planos_Contratos!$C$4:$C$203,MATCH(B374,Planos_Contratos!$A$4:$A$203,0)),""))</x:f>
      </x:c>
      <x:c r="E374" s="72"/>
      <x:c r="F374" s="104"/>
      <x:c r="G374" s="64"/>
      <x:c r="H374" s="64"/>
      <x:c r="I374" s="92" t="str">
        <x:f>IF(B374="","",IFERROR(INDEX(Planos_Contratos!$G$4:$G$203,MATCH(B374,Planos_Contratos!$A$4:$A$203,0)),""))</x:f>
      </x:c>
    </x:row>
    <x:row r="375" ht="20" customHeight="1">
      <x:c r="A375" s="68" t="str">
        <x:f t="shared" si="5"/>
      </x:c>
      <x:c r="B375" s="64"/>
      <x:c r="C375" s="68" t="str">
        <x:f>IF(B375="","",IFERROR(INDEX(Planos_Contratos!$B$4:$B$203,MATCH(B375,Planos_Contratos!$A$4:$A$203,0)),""))</x:f>
      </x:c>
      <x:c r="D375" s="68" t="str">
        <x:f>IF(B375="","",IFERROR(INDEX(Planos_Contratos!$C$4:$C$203,MATCH(B375,Planos_Contratos!$A$4:$A$203,0)),""))</x:f>
      </x:c>
      <x:c r="E375" s="72"/>
      <x:c r="F375" s="104"/>
      <x:c r="G375" s="64"/>
      <x:c r="H375" s="64"/>
      <x:c r="I375" s="92" t="str">
        <x:f>IF(B375="","",IFERROR(INDEX(Planos_Contratos!$G$4:$G$203,MATCH(B375,Planos_Contratos!$A$4:$A$203,0)),""))</x:f>
      </x:c>
    </x:row>
    <x:row r="376" ht="20" customHeight="1">
      <x:c r="A376" s="68" t="str">
        <x:f t="shared" si="5"/>
      </x:c>
      <x:c r="B376" s="64"/>
      <x:c r="C376" s="68" t="str">
        <x:f>IF(B376="","",IFERROR(INDEX(Planos_Contratos!$B$4:$B$203,MATCH(B376,Planos_Contratos!$A$4:$A$203,0)),""))</x:f>
      </x:c>
      <x:c r="D376" s="68" t="str">
        <x:f>IF(B376="","",IFERROR(INDEX(Planos_Contratos!$C$4:$C$203,MATCH(B376,Planos_Contratos!$A$4:$A$203,0)),""))</x:f>
      </x:c>
      <x:c r="E376" s="72"/>
      <x:c r="F376" s="104"/>
      <x:c r="G376" s="64"/>
      <x:c r="H376" s="64"/>
      <x:c r="I376" s="92" t="str">
        <x:f>IF(B376="","",IFERROR(INDEX(Planos_Contratos!$G$4:$G$203,MATCH(B376,Planos_Contratos!$A$4:$A$203,0)),""))</x:f>
      </x:c>
    </x:row>
    <x:row r="377" ht="20" customHeight="1">
      <x:c r="A377" s="68" t="str">
        <x:f t="shared" si="5"/>
      </x:c>
      <x:c r="B377" s="64"/>
      <x:c r="C377" s="68" t="str">
        <x:f>IF(B377="","",IFERROR(INDEX(Planos_Contratos!$B$4:$B$203,MATCH(B377,Planos_Contratos!$A$4:$A$203,0)),""))</x:f>
      </x:c>
      <x:c r="D377" s="68" t="str">
        <x:f>IF(B377="","",IFERROR(INDEX(Planos_Contratos!$C$4:$C$203,MATCH(B377,Planos_Contratos!$A$4:$A$203,0)),""))</x:f>
      </x:c>
      <x:c r="E377" s="72"/>
      <x:c r="F377" s="104"/>
      <x:c r="G377" s="64"/>
      <x:c r="H377" s="64"/>
      <x:c r="I377" s="92" t="str">
        <x:f>IF(B377="","",IFERROR(INDEX(Planos_Contratos!$G$4:$G$203,MATCH(B377,Planos_Contratos!$A$4:$A$203,0)),""))</x:f>
      </x:c>
    </x:row>
    <x:row r="378" ht="20" customHeight="1">
      <x:c r="A378" s="68" t="str">
        <x:f t="shared" si="5"/>
      </x:c>
      <x:c r="B378" s="64"/>
      <x:c r="C378" s="68" t="str">
        <x:f>IF(B378="","",IFERROR(INDEX(Planos_Contratos!$B$4:$B$203,MATCH(B378,Planos_Contratos!$A$4:$A$203,0)),""))</x:f>
      </x:c>
      <x:c r="D378" s="68" t="str">
        <x:f>IF(B378="","",IFERROR(INDEX(Planos_Contratos!$C$4:$C$203,MATCH(B378,Planos_Contratos!$A$4:$A$203,0)),""))</x:f>
      </x:c>
      <x:c r="E378" s="72"/>
      <x:c r="F378" s="104"/>
      <x:c r="G378" s="64"/>
      <x:c r="H378" s="64"/>
      <x:c r="I378" s="92" t="str">
        <x:f>IF(B378="","",IFERROR(INDEX(Planos_Contratos!$G$4:$G$203,MATCH(B378,Planos_Contratos!$A$4:$A$203,0)),""))</x:f>
      </x:c>
    </x:row>
    <x:row r="379" ht="20" customHeight="1">
      <x:c r="A379" s="68" t="str">
        <x:f t="shared" si="5"/>
      </x:c>
      <x:c r="B379" s="64"/>
      <x:c r="C379" s="68" t="str">
        <x:f>IF(B379="","",IFERROR(INDEX(Planos_Contratos!$B$4:$B$203,MATCH(B379,Planos_Contratos!$A$4:$A$203,0)),""))</x:f>
      </x:c>
      <x:c r="D379" s="68" t="str">
        <x:f>IF(B379="","",IFERROR(INDEX(Planos_Contratos!$C$4:$C$203,MATCH(B379,Planos_Contratos!$A$4:$A$203,0)),""))</x:f>
      </x:c>
      <x:c r="E379" s="72"/>
      <x:c r="F379" s="104"/>
      <x:c r="G379" s="64"/>
      <x:c r="H379" s="64"/>
      <x:c r="I379" s="92" t="str">
        <x:f>IF(B379="","",IFERROR(INDEX(Planos_Contratos!$G$4:$G$203,MATCH(B379,Planos_Contratos!$A$4:$A$203,0)),""))</x:f>
      </x:c>
    </x:row>
    <x:row r="380" ht="20" customHeight="1">
      <x:c r="A380" s="68" t="str">
        <x:f t="shared" si="5"/>
      </x:c>
      <x:c r="B380" s="64"/>
      <x:c r="C380" s="68" t="str">
        <x:f>IF(B380="","",IFERROR(INDEX(Planos_Contratos!$B$4:$B$203,MATCH(B380,Planos_Contratos!$A$4:$A$203,0)),""))</x:f>
      </x:c>
      <x:c r="D380" s="68" t="str">
        <x:f>IF(B380="","",IFERROR(INDEX(Planos_Contratos!$C$4:$C$203,MATCH(B380,Planos_Contratos!$A$4:$A$203,0)),""))</x:f>
      </x:c>
      <x:c r="E380" s="72"/>
      <x:c r="F380" s="104"/>
      <x:c r="G380" s="64"/>
      <x:c r="H380" s="64"/>
      <x:c r="I380" s="92" t="str">
        <x:f>IF(B380="","",IFERROR(INDEX(Planos_Contratos!$G$4:$G$203,MATCH(B380,Planos_Contratos!$A$4:$A$203,0)),""))</x:f>
      </x:c>
    </x:row>
    <x:row r="381" ht="20" customHeight="1">
      <x:c r="A381" s="68" t="str">
        <x:f t="shared" si="5"/>
      </x:c>
      <x:c r="B381" s="64"/>
      <x:c r="C381" s="68" t="str">
        <x:f>IF(B381="","",IFERROR(INDEX(Planos_Contratos!$B$4:$B$203,MATCH(B381,Planos_Contratos!$A$4:$A$203,0)),""))</x:f>
      </x:c>
      <x:c r="D381" s="68" t="str">
        <x:f>IF(B381="","",IFERROR(INDEX(Planos_Contratos!$C$4:$C$203,MATCH(B381,Planos_Contratos!$A$4:$A$203,0)),""))</x:f>
      </x:c>
      <x:c r="E381" s="72"/>
      <x:c r="F381" s="104"/>
      <x:c r="G381" s="64"/>
      <x:c r="H381" s="64"/>
      <x:c r="I381" s="92" t="str">
        <x:f>IF(B381="","",IFERROR(INDEX(Planos_Contratos!$G$4:$G$203,MATCH(B381,Planos_Contratos!$A$4:$A$203,0)),""))</x:f>
      </x:c>
    </x:row>
    <x:row r="382" ht="20" customHeight="1">
      <x:c r="A382" s="68" t="str">
        <x:f t="shared" si="5"/>
      </x:c>
      <x:c r="B382" s="64"/>
      <x:c r="C382" s="68" t="str">
        <x:f>IF(B382="","",IFERROR(INDEX(Planos_Contratos!$B$4:$B$203,MATCH(B382,Planos_Contratos!$A$4:$A$203,0)),""))</x:f>
      </x:c>
      <x:c r="D382" s="68" t="str">
        <x:f>IF(B382="","",IFERROR(INDEX(Planos_Contratos!$C$4:$C$203,MATCH(B382,Planos_Contratos!$A$4:$A$203,0)),""))</x:f>
      </x:c>
      <x:c r="E382" s="72"/>
      <x:c r="F382" s="104"/>
      <x:c r="G382" s="64"/>
      <x:c r="H382" s="64"/>
      <x:c r="I382" s="92" t="str">
        <x:f>IF(B382="","",IFERROR(INDEX(Planos_Contratos!$G$4:$G$203,MATCH(B382,Planos_Contratos!$A$4:$A$203,0)),""))</x:f>
      </x:c>
    </x:row>
    <x:row r="383" ht="20" customHeight="1">
      <x:c r="A383" s="68" t="str">
        <x:f t="shared" si="5"/>
      </x:c>
      <x:c r="B383" s="64"/>
      <x:c r="C383" s="68" t="str">
        <x:f>IF(B383="","",IFERROR(INDEX(Planos_Contratos!$B$4:$B$203,MATCH(B383,Planos_Contratos!$A$4:$A$203,0)),""))</x:f>
      </x:c>
      <x:c r="D383" s="68" t="str">
        <x:f>IF(B383="","",IFERROR(INDEX(Planos_Contratos!$C$4:$C$203,MATCH(B383,Planos_Contratos!$A$4:$A$203,0)),""))</x:f>
      </x:c>
      <x:c r="E383" s="72"/>
      <x:c r="F383" s="104"/>
      <x:c r="G383" s="64"/>
      <x:c r="H383" s="64"/>
      <x:c r="I383" s="92" t="str">
        <x:f>IF(B383="","",IFERROR(INDEX(Planos_Contratos!$G$4:$G$203,MATCH(B383,Planos_Contratos!$A$4:$A$203,0)),""))</x:f>
      </x:c>
    </x:row>
    <x:row r="384" ht="20" customHeight="1">
      <x:c r="A384" s="68" t="str">
        <x:f t="shared" si="5"/>
      </x:c>
      <x:c r="B384" s="64"/>
      <x:c r="C384" s="68" t="str">
        <x:f>IF(B384="","",IFERROR(INDEX(Planos_Contratos!$B$4:$B$203,MATCH(B384,Planos_Contratos!$A$4:$A$203,0)),""))</x:f>
      </x:c>
      <x:c r="D384" s="68" t="str">
        <x:f>IF(B384="","",IFERROR(INDEX(Planos_Contratos!$C$4:$C$203,MATCH(B384,Planos_Contratos!$A$4:$A$203,0)),""))</x:f>
      </x:c>
      <x:c r="E384" s="72"/>
      <x:c r="F384" s="104"/>
      <x:c r="G384" s="64"/>
      <x:c r="H384" s="64"/>
      <x:c r="I384" s="92" t="str">
        <x:f>IF(B384="","",IFERROR(INDEX(Planos_Contratos!$G$4:$G$203,MATCH(B384,Planos_Contratos!$A$4:$A$203,0)),""))</x:f>
      </x:c>
    </x:row>
    <x:row r="385" ht="20" customHeight="1">
      <x:c r="A385" s="68" t="str">
        <x:f t="shared" si="5"/>
      </x:c>
      <x:c r="B385" s="64"/>
      <x:c r="C385" s="68" t="str">
        <x:f>IF(B385="","",IFERROR(INDEX(Planos_Contratos!$B$4:$B$203,MATCH(B385,Planos_Contratos!$A$4:$A$203,0)),""))</x:f>
      </x:c>
      <x:c r="D385" s="68" t="str">
        <x:f>IF(B385="","",IFERROR(INDEX(Planos_Contratos!$C$4:$C$203,MATCH(B385,Planos_Contratos!$A$4:$A$203,0)),""))</x:f>
      </x:c>
      <x:c r="E385" s="72"/>
      <x:c r="F385" s="104"/>
      <x:c r="G385" s="64"/>
      <x:c r="H385" s="64"/>
      <x:c r="I385" s="92" t="str">
        <x:f>IF(B385="","",IFERROR(INDEX(Planos_Contratos!$G$4:$G$203,MATCH(B385,Planos_Contratos!$A$4:$A$203,0)),""))</x:f>
      </x:c>
    </x:row>
    <x:row r="386" ht="20" customHeight="1">
      <x:c r="A386" s="68" t="str">
        <x:f t="shared" si="5"/>
      </x:c>
      <x:c r="B386" s="64"/>
      <x:c r="C386" s="68" t="str">
        <x:f>IF(B386="","",IFERROR(INDEX(Planos_Contratos!$B$4:$B$203,MATCH(B386,Planos_Contratos!$A$4:$A$203,0)),""))</x:f>
      </x:c>
      <x:c r="D386" s="68" t="str">
        <x:f>IF(B386="","",IFERROR(INDEX(Planos_Contratos!$C$4:$C$203,MATCH(B386,Planos_Contratos!$A$4:$A$203,0)),""))</x:f>
      </x:c>
      <x:c r="E386" s="72"/>
      <x:c r="F386" s="104"/>
      <x:c r="G386" s="64"/>
      <x:c r="H386" s="64"/>
      <x:c r="I386" s="92" t="str">
        <x:f>IF(B386="","",IFERROR(INDEX(Planos_Contratos!$G$4:$G$203,MATCH(B386,Planos_Contratos!$A$4:$A$203,0)),""))</x:f>
      </x:c>
    </x:row>
    <x:row r="387" ht="20" customHeight="1">
      <x:c r="A387" s="68" t="str">
        <x:f t="shared" si="5"/>
      </x:c>
      <x:c r="B387" s="64"/>
      <x:c r="C387" s="68" t="str">
        <x:f>IF(B387="","",IFERROR(INDEX(Planos_Contratos!$B$4:$B$203,MATCH(B387,Planos_Contratos!$A$4:$A$203,0)),""))</x:f>
      </x:c>
      <x:c r="D387" s="68" t="str">
        <x:f>IF(B387="","",IFERROR(INDEX(Planos_Contratos!$C$4:$C$203,MATCH(B387,Planos_Contratos!$A$4:$A$203,0)),""))</x:f>
      </x:c>
      <x:c r="E387" s="72"/>
      <x:c r="F387" s="104"/>
      <x:c r="G387" s="64"/>
      <x:c r="H387" s="64"/>
      <x:c r="I387" s="92" t="str">
        <x:f>IF(B387="","",IFERROR(INDEX(Planos_Contratos!$G$4:$G$203,MATCH(B387,Planos_Contratos!$A$4:$A$203,0)),""))</x:f>
      </x:c>
    </x:row>
    <x:row r="388" ht="20" customHeight="1">
      <x:c r="A388" s="68" t="str">
        <x:f t="shared" ref="A388:A403" si="6">IF(B388="","",ROW()-3)</x:f>
      </x:c>
      <x:c r="B388" s="64"/>
      <x:c r="C388" s="68" t="str">
        <x:f>IF(B388="","",IFERROR(INDEX(Planos_Contratos!$B$4:$B$203,MATCH(B388,Planos_Contratos!$A$4:$A$203,0)),""))</x:f>
      </x:c>
      <x:c r="D388" s="68" t="str">
        <x:f>IF(B388="","",IFERROR(INDEX(Planos_Contratos!$C$4:$C$203,MATCH(B388,Planos_Contratos!$A$4:$A$203,0)),""))</x:f>
      </x:c>
      <x:c r="E388" s="72"/>
      <x:c r="F388" s="104"/>
      <x:c r="G388" s="64"/>
      <x:c r="H388" s="64"/>
      <x:c r="I388" s="92" t="str">
        <x:f>IF(B388="","",IFERROR(INDEX(Planos_Contratos!$G$4:$G$203,MATCH(B388,Planos_Contratos!$A$4:$A$203,0)),""))</x:f>
      </x:c>
    </x:row>
    <x:row r="389" ht="20" customHeight="1">
      <x:c r="A389" s="68" t="str">
        <x:f t="shared" si="6"/>
      </x:c>
      <x:c r="B389" s="64"/>
      <x:c r="C389" s="68" t="str">
        <x:f>IF(B389="","",IFERROR(INDEX(Planos_Contratos!$B$4:$B$203,MATCH(B389,Planos_Contratos!$A$4:$A$203,0)),""))</x:f>
      </x:c>
      <x:c r="D389" s="68" t="str">
        <x:f>IF(B389="","",IFERROR(INDEX(Planos_Contratos!$C$4:$C$203,MATCH(B389,Planos_Contratos!$A$4:$A$203,0)),""))</x:f>
      </x:c>
      <x:c r="E389" s="72"/>
      <x:c r="F389" s="104"/>
      <x:c r="G389" s="64"/>
      <x:c r="H389" s="64"/>
      <x:c r="I389" s="92" t="str">
        <x:f>IF(B389="","",IFERROR(INDEX(Planos_Contratos!$G$4:$G$203,MATCH(B389,Planos_Contratos!$A$4:$A$203,0)),""))</x:f>
      </x:c>
    </x:row>
    <x:row r="390" ht="20" customHeight="1">
      <x:c r="A390" s="68" t="str">
        <x:f t="shared" si="6"/>
      </x:c>
      <x:c r="B390" s="64"/>
      <x:c r="C390" s="68" t="str">
        <x:f>IF(B390="","",IFERROR(INDEX(Planos_Contratos!$B$4:$B$203,MATCH(B390,Planos_Contratos!$A$4:$A$203,0)),""))</x:f>
      </x:c>
      <x:c r="D390" s="68" t="str">
        <x:f>IF(B390="","",IFERROR(INDEX(Planos_Contratos!$C$4:$C$203,MATCH(B390,Planos_Contratos!$A$4:$A$203,0)),""))</x:f>
      </x:c>
      <x:c r="E390" s="72"/>
      <x:c r="F390" s="104"/>
      <x:c r="G390" s="64"/>
      <x:c r="H390" s="64"/>
      <x:c r="I390" s="92" t="str">
        <x:f>IF(B390="","",IFERROR(INDEX(Planos_Contratos!$G$4:$G$203,MATCH(B390,Planos_Contratos!$A$4:$A$203,0)),""))</x:f>
      </x:c>
    </x:row>
    <x:row r="391" ht="20" customHeight="1">
      <x:c r="A391" s="68" t="str">
        <x:f t="shared" si="6"/>
      </x:c>
      <x:c r="B391" s="64"/>
      <x:c r="C391" s="68" t="str">
        <x:f>IF(B391="","",IFERROR(INDEX(Planos_Contratos!$B$4:$B$203,MATCH(B391,Planos_Contratos!$A$4:$A$203,0)),""))</x:f>
      </x:c>
      <x:c r="D391" s="68" t="str">
        <x:f>IF(B391="","",IFERROR(INDEX(Planos_Contratos!$C$4:$C$203,MATCH(B391,Planos_Contratos!$A$4:$A$203,0)),""))</x:f>
      </x:c>
      <x:c r="E391" s="72"/>
      <x:c r="F391" s="104"/>
      <x:c r="G391" s="64"/>
      <x:c r="H391" s="64"/>
      <x:c r="I391" s="92" t="str">
        <x:f>IF(B391="","",IFERROR(INDEX(Planos_Contratos!$G$4:$G$203,MATCH(B391,Planos_Contratos!$A$4:$A$203,0)),""))</x:f>
      </x:c>
    </x:row>
    <x:row r="392" ht="20" customHeight="1">
      <x:c r="A392" s="68" t="str">
        <x:f t="shared" si="6"/>
      </x:c>
      <x:c r="B392" s="64"/>
      <x:c r="C392" s="68" t="str">
        <x:f>IF(B392="","",IFERROR(INDEX(Planos_Contratos!$B$4:$B$203,MATCH(B392,Planos_Contratos!$A$4:$A$203,0)),""))</x:f>
      </x:c>
      <x:c r="D392" s="68" t="str">
        <x:f>IF(B392="","",IFERROR(INDEX(Planos_Contratos!$C$4:$C$203,MATCH(B392,Planos_Contratos!$A$4:$A$203,0)),""))</x:f>
      </x:c>
      <x:c r="E392" s="72"/>
      <x:c r="F392" s="104"/>
      <x:c r="G392" s="64"/>
      <x:c r="H392" s="64"/>
      <x:c r="I392" s="92" t="str">
        <x:f>IF(B392="","",IFERROR(INDEX(Planos_Contratos!$G$4:$G$203,MATCH(B392,Planos_Contratos!$A$4:$A$203,0)),""))</x:f>
      </x:c>
    </x:row>
    <x:row r="393" ht="20" customHeight="1">
      <x:c r="A393" s="68" t="str">
        <x:f t="shared" si="6"/>
      </x:c>
      <x:c r="B393" s="64"/>
      <x:c r="C393" s="68" t="str">
        <x:f>IF(B393="","",IFERROR(INDEX(Planos_Contratos!$B$4:$B$203,MATCH(B393,Planos_Contratos!$A$4:$A$203,0)),""))</x:f>
      </x:c>
      <x:c r="D393" s="68" t="str">
        <x:f>IF(B393="","",IFERROR(INDEX(Planos_Contratos!$C$4:$C$203,MATCH(B393,Planos_Contratos!$A$4:$A$203,0)),""))</x:f>
      </x:c>
      <x:c r="E393" s="72"/>
      <x:c r="F393" s="104"/>
      <x:c r="G393" s="64"/>
      <x:c r="H393" s="64"/>
      <x:c r="I393" s="92" t="str">
        <x:f>IF(B393="","",IFERROR(INDEX(Planos_Contratos!$G$4:$G$203,MATCH(B393,Planos_Contratos!$A$4:$A$203,0)),""))</x:f>
      </x:c>
    </x:row>
    <x:row r="394" ht="20" customHeight="1">
      <x:c r="A394" s="68" t="str">
        <x:f t="shared" si="6"/>
      </x:c>
      <x:c r="B394" s="64"/>
      <x:c r="C394" s="68" t="str">
        <x:f>IF(B394="","",IFERROR(INDEX(Planos_Contratos!$B$4:$B$203,MATCH(B394,Planos_Contratos!$A$4:$A$203,0)),""))</x:f>
      </x:c>
      <x:c r="D394" s="68" t="str">
        <x:f>IF(B394="","",IFERROR(INDEX(Planos_Contratos!$C$4:$C$203,MATCH(B394,Planos_Contratos!$A$4:$A$203,0)),""))</x:f>
      </x:c>
      <x:c r="E394" s="72"/>
      <x:c r="F394" s="104"/>
      <x:c r="G394" s="64"/>
      <x:c r="H394" s="64"/>
      <x:c r="I394" s="92" t="str">
        <x:f>IF(B394="","",IFERROR(INDEX(Planos_Contratos!$G$4:$G$203,MATCH(B394,Planos_Contratos!$A$4:$A$203,0)),""))</x:f>
      </x:c>
    </x:row>
    <x:row r="395" ht="20" customHeight="1">
      <x:c r="A395" s="68" t="str">
        <x:f t="shared" si="6"/>
      </x:c>
      <x:c r="B395" s="64"/>
      <x:c r="C395" s="68" t="str">
        <x:f>IF(B395="","",IFERROR(INDEX(Planos_Contratos!$B$4:$B$203,MATCH(B395,Planos_Contratos!$A$4:$A$203,0)),""))</x:f>
      </x:c>
      <x:c r="D395" s="68" t="str">
        <x:f>IF(B395="","",IFERROR(INDEX(Planos_Contratos!$C$4:$C$203,MATCH(B395,Planos_Contratos!$A$4:$A$203,0)),""))</x:f>
      </x:c>
      <x:c r="E395" s="72"/>
      <x:c r="F395" s="104"/>
      <x:c r="G395" s="64"/>
      <x:c r="H395" s="64"/>
      <x:c r="I395" s="92" t="str">
        <x:f>IF(B395="","",IFERROR(INDEX(Planos_Contratos!$G$4:$G$203,MATCH(B395,Planos_Contratos!$A$4:$A$203,0)),""))</x:f>
      </x:c>
    </x:row>
    <x:row r="396" ht="20" customHeight="1">
      <x:c r="A396" s="68" t="str">
        <x:f t="shared" si="6"/>
      </x:c>
      <x:c r="B396" s="64"/>
      <x:c r="C396" s="68" t="str">
        <x:f>IF(B396="","",IFERROR(INDEX(Planos_Contratos!$B$4:$B$203,MATCH(B396,Planos_Contratos!$A$4:$A$203,0)),""))</x:f>
      </x:c>
      <x:c r="D396" s="68" t="str">
        <x:f>IF(B396="","",IFERROR(INDEX(Planos_Contratos!$C$4:$C$203,MATCH(B396,Planos_Contratos!$A$4:$A$203,0)),""))</x:f>
      </x:c>
      <x:c r="E396" s="72"/>
      <x:c r="F396" s="104"/>
      <x:c r="G396" s="64"/>
      <x:c r="H396" s="64"/>
      <x:c r="I396" s="92" t="str">
        <x:f>IF(B396="","",IFERROR(INDEX(Planos_Contratos!$G$4:$G$203,MATCH(B396,Planos_Contratos!$A$4:$A$203,0)),""))</x:f>
      </x:c>
    </x:row>
    <x:row r="397" ht="20" customHeight="1">
      <x:c r="A397" s="68" t="str">
        <x:f t="shared" si="6"/>
      </x:c>
      <x:c r="B397" s="64"/>
      <x:c r="C397" s="68" t="str">
        <x:f>IF(B397="","",IFERROR(INDEX(Planos_Contratos!$B$4:$B$203,MATCH(B397,Planos_Contratos!$A$4:$A$203,0)),""))</x:f>
      </x:c>
      <x:c r="D397" s="68" t="str">
        <x:f>IF(B397="","",IFERROR(INDEX(Planos_Contratos!$C$4:$C$203,MATCH(B397,Planos_Contratos!$A$4:$A$203,0)),""))</x:f>
      </x:c>
      <x:c r="E397" s="72"/>
      <x:c r="F397" s="104"/>
      <x:c r="G397" s="64"/>
      <x:c r="H397" s="64"/>
      <x:c r="I397" s="92" t="str">
        <x:f>IF(B397="","",IFERROR(INDEX(Planos_Contratos!$G$4:$G$203,MATCH(B397,Planos_Contratos!$A$4:$A$203,0)),""))</x:f>
      </x:c>
    </x:row>
    <x:row r="398" ht="20" customHeight="1">
      <x:c r="A398" s="68" t="str">
        <x:f t="shared" si="6"/>
      </x:c>
      <x:c r="B398" s="64"/>
      <x:c r="C398" s="68" t="str">
        <x:f>IF(B398="","",IFERROR(INDEX(Planos_Contratos!$B$4:$B$203,MATCH(B398,Planos_Contratos!$A$4:$A$203,0)),""))</x:f>
      </x:c>
      <x:c r="D398" s="68" t="str">
        <x:f>IF(B398="","",IFERROR(INDEX(Planos_Contratos!$C$4:$C$203,MATCH(B398,Planos_Contratos!$A$4:$A$203,0)),""))</x:f>
      </x:c>
      <x:c r="E398" s="72"/>
      <x:c r="F398" s="104"/>
      <x:c r="G398" s="64"/>
      <x:c r="H398" s="64"/>
      <x:c r="I398" s="92" t="str">
        <x:f>IF(B398="","",IFERROR(INDEX(Planos_Contratos!$G$4:$G$203,MATCH(B398,Planos_Contratos!$A$4:$A$203,0)),""))</x:f>
      </x:c>
    </x:row>
    <x:row r="399" ht="20" customHeight="1">
      <x:c r="A399" s="68" t="str">
        <x:f t="shared" si="6"/>
      </x:c>
      <x:c r="B399" s="64"/>
      <x:c r="C399" s="68" t="str">
        <x:f>IF(B399="","",IFERROR(INDEX(Planos_Contratos!$B$4:$B$203,MATCH(B399,Planos_Contratos!$A$4:$A$203,0)),""))</x:f>
      </x:c>
      <x:c r="D399" s="68" t="str">
        <x:f>IF(B399="","",IFERROR(INDEX(Planos_Contratos!$C$4:$C$203,MATCH(B399,Planos_Contratos!$A$4:$A$203,0)),""))</x:f>
      </x:c>
      <x:c r="E399" s="72"/>
      <x:c r="F399" s="104"/>
      <x:c r="G399" s="64"/>
      <x:c r="H399" s="64"/>
      <x:c r="I399" s="92" t="str">
        <x:f>IF(B399="","",IFERROR(INDEX(Planos_Contratos!$G$4:$G$203,MATCH(B399,Planos_Contratos!$A$4:$A$203,0)),""))</x:f>
      </x:c>
    </x:row>
    <x:row r="400" ht="20" customHeight="1">
      <x:c r="A400" s="68" t="str">
        <x:f t="shared" si="6"/>
      </x:c>
      <x:c r="B400" s="64"/>
      <x:c r="C400" s="68" t="str">
        <x:f>IF(B400="","",IFERROR(INDEX(Planos_Contratos!$B$4:$B$203,MATCH(B400,Planos_Contratos!$A$4:$A$203,0)),""))</x:f>
      </x:c>
      <x:c r="D400" s="68" t="str">
        <x:f>IF(B400="","",IFERROR(INDEX(Planos_Contratos!$C$4:$C$203,MATCH(B400,Planos_Contratos!$A$4:$A$203,0)),""))</x:f>
      </x:c>
      <x:c r="E400" s="72"/>
      <x:c r="F400" s="104"/>
      <x:c r="G400" s="64"/>
      <x:c r="H400" s="64"/>
      <x:c r="I400" s="92" t="str">
        <x:f>IF(B400="","",IFERROR(INDEX(Planos_Contratos!$G$4:$G$203,MATCH(B400,Planos_Contratos!$A$4:$A$203,0)),""))</x:f>
      </x:c>
    </x:row>
    <x:row r="401" ht="20" customHeight="1">
      <x:c r="A401" s="68" t="str">
        <x:f t="shared" si="6"/>
      </x:c>
      <x:c r="B401" s="64"/>
      <x:c r="C401" s="68" t="str">
        <x:f>IF(B401="","",IFERROR(INDEX(Planos_Contratos!$B$4:$B$203,MATCH(B401,Planos_Contratos!$A$4:$A$203,0)),""))</x:f>
      </x:c>
      <x:c r="D401" s="68" t="str">
        <x:f>IF(B401="","",IFERROR(INDEX(Planos_Contratos!$C$4:$C$203,MATCH(B401,Planos_Contratos!$A$4:$A$203,0)),""))</x:f>
      </x:c>
      <x:c r="E401" s="72"/>
      <x:c r="F401" s="104"/>
      <x:c r="G401" s="64"/>
      <x:c r="H401" s="64"/>
      <x:c r="I401" s="92" t="str">
        <x:f>IF(B401="","",IFERROR(INDEX(Planos_Contratos!$G$4:$G$203,MATCH(B401,Planos_Contratos!$A$4:$A$203,0)),""))</x:f>
      </x:c>
    </x:row>
    <x:row r="402" ht="20" customHeight="1">
      <x:c r="A402" s="68" t="str">
        <x:f t="shared" si="6"/>
      </x:c>
      <x:c r="B402" s="64"/>
      <x:c r="C402" s="68" t="str">
        <x:f>IF(B402="","",IFERROR(INDEX(Planos_Contratos!$B$4:$B$203,MATCH(B402,Planos_Contratos!$A$4:$A$203,0)),""))</x:f>
      </x:c>
      <x:c r="D402" s="68" t="str">
        <x:f>IF(B402="","",IFERROR(INDEX(Planos_Contratos!$C$4:$C$203,MATCH(B402,Planos_Contratos!$A$4:$A$203,0)),""))</x:f>
      </x:c>
      <x:c r="E402" s="72"/>
      <x:c r="F402" s="104"/>
      <x:c r="G402" s="64"/>
      <x:c r="H402" s="64"/>
      <x:c r="I402" s="92" t="str">
        <x:f>IF(B402="","",IFERROR(INDEX(Planos_Contratos!$G$4:$G$203,MATCH(B402,Planos_Contratos!$A$4:$A$203,0)),""))</x:f>
      </x:c>
    </x:row>
    <x:row r="403" ht="20" customHeight="1">
      <x:c r="A403" s="68" t="str">
        <x:f t="shared" si="6"/>
      </x:c>
      <x:c r="B403" s="64"/>
      <x:c r="C403" s="68" t="str">
        <x:f>IF(B403="","",IFERROR(INDEX(Planos_Contratos!$B$4:$B$203,MATCH(B403,Planos_Contratos!$A$4:$A$203,0)),""))</x:f>
      </x:c>
      <x:c r="D403" s="68" t="str">
        <x:f>IF(B403="","",IFERROR(INDEX(Planos_Contratos!$C$4:$C$203,MATCH(B403,Planos_Contratos!$A$4:$A$203,0)),""))</x:f>
      </x:c>
      <x:c r="E403" s="72"/>
      <x:c r="F403" s="104"/>
      <x:c r="G403" s="64"/>
      <x:c r="H403" s="64"/>
      <x:c r="I403" s="92" t="str">
        <x:f>IF(B403="","",IFERROR(INDEX(Planos_Contratos!$G$4:$G$203,MATCH(B403,Planos_Contratos!$A$4:$A$203,0)),""))</x:f>
      </x:c>
    </x:row>
  </x:sheetData>
  <x:mergeCells>
    <x:mergeCell ref="A2:I2"/>
    <x:mergeCell ref="A1:I1"/>
  </x:mergeCells>
  <x:conditionalFormatting sqref="H4:H403">
    <x:cfRule type="expression" dxfId="14" priority="1">
      <x:formula>OR(H4="Recebido",H4="Pago",H4="Realizado",H4="Ativo",H4="Concluído")</x:formula>
    </x:cfRule>
    <x:cfRule type="expression" dxfId="15" priority="2">
      <x:formula>OR(H4="Pendente",H4="Retorno Pendente",H4="Em andamento",H4="Agendado")</x:formula>
    </x:cfRule>
    <x:cfRule type="expression" dxfId="16" priority="3">
      <x:formula>OR(H4="Cancelado",H4="Faltou")</x:formula>
    </x:cfRule>
    <x:cfRule type="expression" dxfId="17" priority="4">
      <x:formula>OR(H4="Inativo",H4="Em Pausa")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3.800000190734863"/>
  <x:cols>
    <x:col min="1" max="1" width="13" hidden="0" customWidth="1"/>
    <x:col min="2" max="2" width="11" hidden="0" customWidth="1"/>
    <x:col min="3" max="3" width="23" hidden="0" customWidth="1"/>
    <x:col min="4" max="4" width="11" hidden="0" customWidth="1"/>
    <x:col min="5" max="5" width="15" hidden="0" customWidth="1"/>
    <x:col min="6" max="6" width="16" hidden="0" customWidth="1"/>
    <x:col min="7" max="7" width="15" hidden="0" customWidth="1"/>
    <x:col min="8" max="8" width="13" hidden="0" customWidth="1"/>
    <x:col min="9" max="9" width="15" hidden="0" customWidth="1"/>
    <x:col min="10" max="10" width="18" hidden="0" customWidth="1"/>
    <x:col min="11" max="11" width="9" hidden="0" customWidth="1"/>
    <x:col min="12" max="13" width="14" customWidth="1"/>
    <x:col min="12" max="12" width="13" hidden="0" customWidth="1"/>
    <x:col min="13" max="13" width="13" hidden="0" customWidth="1"/>
  </x:cols>
  <x:sheetData>
    <x:row r="1" ht="30" customHeight="1">
      <x:c r="A1" s="38" t="s">
        <x:v>15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</x:row>
    <x:row r="2" ht="24" customHeight="1">
      <x:c r="A2" s="44" t="s">
        <x:v>82</x:v>
      </x:c>
      <x:c r="B2" s="44"/>
      <x:c r="C2" s="44"/>
      <x:c r="D2" s="44"/>
      <x:c r="E2" s="44"/>
      <x:c r="F2" s="44"/>
      <x:c r="G2" s="44"/>
      <x:c r="H2" s="76"/>
      <x:c r="I2" s="76"/>
      <x:c r="J2" s="76"/>
      <x:c r="K2" s="76"/>
      <x:c r="L2" s="76"/>
      <x:c r="M2" s="76"/>
    </x:row>
    <x:row r="3" ht="30" customHeight="1">
      <x:c r="A3" s="49" t="s">
        <x:v>83</x:v>
      </x:c>
      <x:c r="B3" s="49" t="s">
        <x:v>45</x:v>
      </x:c>
      <x:c r="C3" s="49" t="s">
        <x:v>46</x:v>
      </x:c>
      <x:c r="D3" s="49" t="s">
        <x:v>26</x:v>
      </x:c>
      <x:c r="E3" s="49" t="s">
        <x:v>84</x:v>
      </x:c>
      <x:c r="F3" s="49" t="s">
        <x:v>85</x:v>
      </x:c>
      <x:c r="G3" s="49" t="s">
        <x:v>86</x:v>
      </x:c>
      <x:c r="H3" s="49" t="s">
        <x:v>87</x:v>
      </x:c>
      <x:c r="I3" s="49" t="s">
        <x:v>88</x:v>
      </x:c>
      <x:c r="J3" s="49" t="s">
        <x:v>52</x:v>
      </x:c>
      <x:c r="K3" s="49" t="s">
        <x:v>89</x:v>
      </x:c>
      <x:c r="L3" s="49" t="s">
        <x:v>90</x:v>
      </x:c>
      <x:c r="M3" s="49" t="s">
        <x:v>91</x:v>
      </x:c>
    </x:row>
    <x:row r="4" ht="20" customHeight="1">
      <x:c r="A4" s="68" t="n">
        <x:f t="shared" ref="A4:A67" si="0">IF(B4="","",ROW()-3)</x:f>
        <x:v>1</x:v>
      </x:c>
      <x:c r="B4" s="64">
        <x:v>1</x:v>
      </x:c>
      <x:c r="C4" s="68" t="str">
        <x:f>IF(B4="","",IFERROR(INDEX(Planos_Contratos!$B$4:$B$203,MATCH(B4,Planos_Contratos!$A$4:$A$203,0)),""))</x:f>
        <x:v>Paciente 001</x:v>
      </x:c>
      <x:c r="D4" s="68" t="n">
        <x:f>IF(B4="","",IFERROR(INDEX(Planos_Contratos!$C$4:$C$203,MATCH(B4,Planos_Contratos!$A$4:$A$203,0)),""))</x:f>
        <x:v>1</x:v>
      </x:c>
      <x:c r="E4" s="72">
        <x:v>46269</x:v>
      </x:c>
      <x:c r="F4" s="72">
        <x:v>46271</x:v>
      </x:c>
      <x:c r="G4" s="92" t="n">
        <x:f>IF(B4="","",IFERROR(INDEX(Planos_Contratos!$L$4:$L$203,MATCH(B4,Planos_Contratos!$A$4:$A$203,0))/MAX(1,INDEX(Planos_Contratos!$M$4:$M$203,MATCH(B4,Planos_Contratos!$A$4:$A$203,0))),""))</x:f>
        <x:v>486</x:v>
      </x:c>
      <x:c r="H4" s="112">
        <x:v>0</x:v>
      </x:c>
      <x:c r="I4" s="92" t="n">
        <x:f t="shared" ref="I4:I67" si="1">IF(G4="","",G4-H4)</x:f>
        <x:v>486</x:v>
      </x:c>
      <x:c r="J4" s="68" t="str">
        <x:f>IF(B4="","",IFERROR(INDEX(Planos_Contratos!$I$4:$I$203,MATCH(B4,Planos_Contratos!$A$4:$A$203,0)),""))</x:f>
        <x:v>PIX</x:v>
      </x:c>
      <x:c r="K4" s="70">
        <x:v>1</x:v>
      </x:c>
      <x:c r="L4" s="96" t="n">
        <x:f>IF(B4="","",IFERROR(INDEX(Planos_Contratos!$M$4:$M$203,MATCH(B4,Planos_Contratos!$A$4:$A$203,0)),""))</x:f>
        <x:v>0</x:v>
      </x:c>
      <x:c r="M4" s="64" t="s">
        <x:v>92</x:v>
      </x:c>
    </x:row>
    <x:row r="5" ht="20" customHeight="1">
      <x:c r="A5" s="68">
        <x:f t="shared" si="0"/>
        <x:v>2</x:v>
      </x:c>
      <x:c r="B5" s="64">
        <x:v>2</x:v>
      </x:c>
      <x:c r="C5" s="68" t="str">
        <x:f>IF(B5="","",IFERROR(INDEX(Planos_Contratos!$B$4:$B$203,MATCH(B5,Planos_Contratos!$A$4:$A$203,0)),""))</x:f>
        <x:v>Paciente 002</x:v>
      </x:c>
      <x:c r="D5" s="68" t="n">
        <x:f>IF(B5="","",IFERROR(INDEX(Planos_Contratos!$C$4:$C$203,MATCH(B5,Planos_Contratos!$A$4:$A$203,0)),""))</x:f>
        <x:v>2</x:v>
      </x:c>
      <x:c r="E5" s="72">
        <x:v>46268</x:v>
      </x:c>
      <x:c r="F5" s="72">
        <x:v>46269</x:v>
      </x:c>
      <x:c r="G5" s="92" t="n">
        <x:f>IF(B5="","",IFERROR(INDEX(Planos_Contratos!$L$4:$L$203,MATCH(B5,Planos_Contratos!$A$4:$A$203,0))/MAX(1,INDEX(Planos_Contratos!$M$4:$M$203,MATCH(B5,Planos_Contratos!$A$4:$A$203,0))),""))</x:f>
        <x:v>720</x:v>
      </x:c>
      <x:c r="H5" s="112">
        <x:v>23.33</x:v>
      </x:c>
      <x:c r="I5" s="92">
        <x:f t="shared" si="1"/>
        <x:v>696.67</x:v>
      </x:c>
      <x:c r="J5" s="68" t="str">
        <x:f>IF(B5="","",IFERROR(INDEX(Planos_Contratos!$I$4:$I$203,MATCH(B5,Planos_Contratos!$A$4:$A$203,0)),""))</x:f>
        <x:v>Cartão Crédito</x:v>
      </x:c>
      <x:c r="K5" s="70">
        <x:v>1</x:v>
      </x:c>
      <x:c r="L5" s="96" t="n">
        <x:f>IF(B5="","",IFERROR(INDEX(Planos_Contratos!$M$4:$M$203,MATCH(B5,Planos_Contratos!$A$4:$A$203,0)),""))</x:f>
        <x:v>2</x:v>
      </x:c>
      <x:c r="M5" s="64" t="s">
        <x:v>92</x:v>
      </x:c>
    </x:row>
    <x:row r="6" ht="20" customHeight="1">
      <x:c r="A6" s="68">
        <x:f t="shared" si="0"/>
        <x:v>3</x:v>
      </x:c>
      <x:c r="B6" s="64">
        <x:v>2</x:v>
      </x:c>
      <x:c r="C6" s="68" t="str">
        <x:f>IF(B6="","",IFERROR(INDEX(Planos_Contratos!$B$4:$B$203,MATCH(B6,Planos_Contratos!$A$4:$A$203,0)),""))</x:f>
        <x:v>Paciente 002</x:v>
      </x:c>
      <x:c r="D6" s="68" t="n">
        <x:f>IF(B6="","",IFERROR(INDEX(Planos_Contratos!$C$4:$C$203,MATCH(B6,Planos_Contratos!$A$4:$A$203,0)),""))</x:f>
        <x:v>2</x:v>
      </x:c>
      <x:c r="E6" s="72">
        <x:v>46298</x:v>
      </x:c>
      <x:c r="F6" s="72"/>
      <x:c r="G6" s="92" t="n">
        <x:f>IF(B6="","",IFERROR(INDEX(Planos_Contratos!$L$4:$L$203,MATCH(B6,Planos_Contratos!$A$4:$A$203,0))/MAX(1,INDEX(Planos_Contratos!$M$4:$M$203,MATCH(B6,Planos_Contratos!$A$4:$A$203,0))),""))</x:f>
        <x:v>720</x:v>
      </x:c>
      <x:c r="H6" s="112">
        <x:v>25.92</x:v>
      </x:c>
      <x:c r="I6" s="92">
        <x:f t="shared" si="1"/>
        <x:v>694.08</x:v>
      </x:c>
      <x:c r="J6" s="68" t="str">
        <x:f>IF(B6="","",IFERROR(INDEX(Planos_Contratos!$I$4:$I$203,MATCH(B6,Planos_Contratos!$A$4:$A$203,0)),""))</x:f>
        <x:v>Cartão Crédito</x:v>
      </x:c>
      <x:c r="K6" s="70">
        <x:v>2</x:v>
      </x:c>
      <x:c r="L6" s="96" t="n">
        <x:f>IF(B6="","",IFERROR(INDEX(Planos_Contratos!$M$4:$M$203,MATCH(B6,Planos_Contratos!$A$4:$A$203,0)),""))</x:f>
        <x:v>2</x:v>
      </x:c>
      <x:c r="M6" s="64" t="s">
        <x:v>93</x:v>
      </x:c>
    </x:row>
    <x:row r="7" ht="20" customHeight="1">
      <x:c r="A7" s="68">
        <x:f t="shared" si="0"/>
        <x:v>4</x:v>
      </x:c>
      <x:c r="B7" s="64">
        <x:v>3</x:v>
      </x:c>
      <x:c r="C7" s="68" t="str">
        <x:f>IF(B7="","",IFERROR(INDEX(Planos_Contratos!$B$4:$B$203,MATCH(B7,Planos_Contratos!$A$4:$A$203,0)),""))</x:f>
        <x:v>Paciente 003</x:v>
      </x:c>
      <x:c r="D7" s="68" t="n">
        <x:f>IF(B7="","",IFERROR(INDEX(Planos_Contratos!$C$4:$C$203,MATCH(B7,Planos_Contratos!$A$4:$A$203,0)),""))</x:f>
        <x:v>3</x:v>
      </x:c>
      <x:c r="E7" s="72">
        <x:v>46027</x:v>
      </x:c>
      <x:c r="F7" s="72">
        <x:v>46028</x:v>
      </x:c>
      <x:c r="G7" s="92" t="n">
        <x:f>IF(B7="","",IFERROR(INDEX(Planos_Contratos!$L$4:$L$203,MATCH(B7,Planos_Contratos!$A$4:$A$203,0))/MAX(1,INDEX(Planos_Contratos!$M$4:$M$203,MATCH(B7,Planos_Contratos!$A$4:$A$203,0))),""))</x:f>
        <x:v>4320</x:v>
      </x:c>
      <x:c r="H7" s="112">
        <x:v>0</x:v>
      </x:c>
      <x:c r="I7" s="92">
        <x:f t="shared" si="1"/>
        <x:v>4320</x:v>
      </x:c>
      <x:c r="J7" s="68" t="str">
        <x:f>IF(B7="","",IFERROR(INDEX(Planos_Contratos!$I$4:$I$203,MATCH(B7,Planos_Contratos!$A$4:$A$203,0)),""))</x:f>
        <x:v>Dinheiro</x:v>
      </x:c>
      <x:c r="K7" s="70">
        <x:v>1</x:v>
      </x:c>
      <x:c r="L7" s="96" t="str">
        <x:f>IF(B7="","",IFERROR(INDEX(Planos_Contratos!$M$4:$M$203,MATCH(B7,Planos_Contratos!$A$4:$A$203,0)),""))</x:f>
      </x:c>
      <x:c r="M7" s="64" t="s">
        <x:v>92</x:v>
      </x:c>
    </x:row>
    <x:row r="8" ht="20" customHeight="1">
      <x:c r="A8" s="68">
        <x:f t="shared" si="0"/>
        <x:v>5</x:v>
      </x:c>
      <x:c r="B8" s="64">
        <x:v>4</x:v>
      </x:c>
      <x:c r="C8" s="68" t="str">
        <x:f>IF(B8="","",IFERROR(INDEX(Planos_Contratos!$B$4:$B$203,MATCH(B8,Planos_Contratos!$A$4:$A$203,0)),""))</x:f>
        <x:v>Paciente 004</x:v>
      </x:c>
      <x:c r="D8" s="68" t="n">
        <x:f>IF(B8="","",IFERROR(INDEX(Planos_Contratos!$C$4:$C$203,MATCH(B8,Planos_Contratos!$A$4:$A$203,0)),""))</x:f>
        <x:v>4</x:v>
      </x:c>
      <x:c r="E8" s="72">
        <x:v>46025</x:v>
      </x:c>
      <x:c r="F8" s="72">
        <x:v>46027</x:v>
      </x:c>
      <x:c r="G8" s="92" t="n">
        <x:f>IF(B8="","",IFERROR(INDEX(Planos_Contratos!$L$4:$L$203,MATCH(B8,Planos_Contratos!$A$4:$A$203,0))/MAX(1,INDEX(Planos_Contratos!$M$4:$M$203,MATCH(B8,Planos_Contratos!$A$4:$A$203,0))),""))</x:f>
        <x:v>4050</x:v>
      </x:c>
      <x:c r="H8" s="112">
        <x:v>7.29</x:v>
      </x:c>
      <x:c r="I8" s="92">
        <x:f t="shared" si="1"/>
        <x:v>4042.71</x:v>
      </x:c>
      <x:c r="J8" s="68" t="str">
        <x:f>IF(B8="","",IFERROR(INDEX(Planos_Contratos!$I$4:$I$203,MATCH(B8,Planos_Contratos!$A$4:$A$203,0)),""))</x:f>
        <x:v>Cartão Débito</x:v>
      </x:c>
      <x:c r="K8" s="70">
        <x:v>1</x:v>
      </x:c>
      <x:c r="L8" s="96" t="str">
        <x:f>IF(B8="","",IFERROR(INDEX(Planos_Contratos!$M$4:$M$203,MATCH(B8,Planos_Contratos!$A$4:$A$203,0)),""))</x:f>
      </x:c>
      <x:c r="M8" s="64" t="s">
        <x:v>92</x:v>
      </x:c>
    </x:row>
    <x:row r="9" ht="20" customHeight="1">
      <x:c r="A9" s="68">
        <x:f t="shared" si="0"/>
        <x:v>6</x:v>
      </x:c>
      <x:c r="B9" s="64">
        <x:v>5</x:v>
      </x:c>
      <x:c r="C9" s="68" t="str">
        <x:f>IF(B9="","",IFERROR(INDEX(Planos_Contratos!$B$4:$B$203,MATCH(B9,Planos_Contratos!$A$4:$A$203,0)),""))</x:f>
        <x:v>Paciente 005</x:v>
      </x:c>
      <x:c r="D9" s="68" t="n">
        <x:f>IF(B9="","",IFERROR(INDEX(Planos_Contratos!$C$4:$C$203,MATCH(B9,Planos_Contratos!$A$4:$A$203,0)),""))</x:f>
        <x:v>5</x:v>
      </x:c>
      <x:c r="E9" s="72">
        <x:v>46029</x:v>
      </x:c>
      <x:c r="F9" s="72">
        <x:v>46029</x:v>
      </x:c>
      <x:c r="G9" s="92" t="n">
        <x:f>IF(B9="","",IFERROR(INDEX(Planos_Contratos!$L$4:$L$203,MATCH(B9,Planos_Contratos!$A$4:$A$203,0))/MAX(1,INDEX(Planos_Contratos!$M$4:$M$203,MATCH(B9,Planos_Contratos!$A$4:$A$203,0))),""))</x:f>
        <x:v>2187</x:v>
      </x:c>
      <x:c r="H9" s="112">
        <x:v>0</x:v>
      </x:c>
      <x:c r="I9" s="92">
        <x:f t="shared" si="1"/>
        <x:v>2187</x:v>
      </x:c>
      <x:c r="J9" s="68" t="str">
        <x:f>IF(B9="","",IFERROR(INDEX(Planos_Contratos!$I$4:$I$203,MATCH(B9,Planos_Contratos!$A$4:$A$203,0)),""))</x:f>
        <x:v>PIX</x:v>
      </x:c>
      <x:c r="K9" s="70">
        <x:v>1</x:v>
      </x:c>
      <x:c r="L9" s="96" t="str">
        <x:f>IF(B9="","",IFERROR(INDEX(Planos_Contratos!$M$4:$M$203,MATCH(B9,Planos_Contratos!$A$4:$A$203,0)),""))</x:f>
      </x:c>
      <x:c r="M9" s="64" t="s">
        <x:v>92</x:v>
      </x:c>
    </x:row>
    <x:row r="10" ht="20" customHeight="1">
      <x:c r="A10" s="68">
        <x:f t="shared" si="0"/>
        <x:v>7</x:v>
      </x:c>
      <x:c r="B10" s="64">
        <x:v>6</x:v>
      </x:c>
      <x:c r="C10" s="68" t="str">
        <x:f>IF(B10="","",IFERROR(INDEX(Planos_Contratos!$B$4:$B$203,MATCH(B10,Planos_Contratos!$A$4:$A$203,0)),""))</x:f>
        <x:v>Paciente 006</x:v>
      </x:c>
      <x:c r="D10" s="68" t="n">
        <x:f>IF(B10="","",IFERROR(INDEX(Planos_Contratos!$C$4:$C$203,MATCH(B10,Planos_Contratos!$A$4:$A$203,0)),""))</x:f>
        <x:v>6</x:v>
      </x:c>
      <x:c r="E10" s="72">
        <x:v>46249</x:v>
      </x:c>
      <x:c r="F10" s="72">
        <x:v>46251</x:v>
      </x:c>
      <x:c r="G10" s="92" t="n">
        <x:f>IF(B10="","",IFERROR(INDEX(Planos_Contratos!$L$4:$L$203,MATCH(B10,Planos_Contratos!$A$4:$A$203,0))/MAX(1,INDEX(Planos_Contratos!$M$4:$M$203,MATCH(B10,Planos_Contratos!$A$4:$A$203,0))),""))</x:f>
        <x:v>450</x:v>
      </x:c>
      <x:c r="H10" s="112">
        <x:v>17.82</x:v>
      </x:c>
      <x:c r="I10" s="92">
        <x:f t="shared" si="1"/>
        <x:v>432.18</x:v>
      </x:c>
      <x:c r="J10" s="68" t="str">
        <x:f>IF(B10="","",IFERROR(INDEX(Planos_Contratos!$I$4:$I$203,MATCH(B10,Planos_Contratos!$A$4:$A$203,0)),""))</x:f>
        <x:v>Cartão Crédito</x:v>
      </x:c>
      <x:c r="K10" s="70">
        <x:v>1</x:v>
      </x:c>
      <x:c r="L10" s="96" t="n">
        <x:f>IF(B10="","",IFERROR(INDEX(Planos_Contratos!$M$4:$M$203,MATCH(B10,Planos_Contratos!$A$4:$A$203,0)),""))</x:f>
        <x:v>4</x:v>
      </x:c>
      <x:c r="M10" s="64" t="s">
        <x:v>92</x:v>
      </x:c>
    </x:row>
    <x:row r="11" ht="20" customHeight="1">
      <x:c r="A11" s="68">
        <x:f t="shared" si="0"/>
        <x:v>8</x:v>
      </x:c>
      <x:c r="B11" s="64">
        <x:v>6</x:v>
      </x:c>
      <x:c r="C11" s="68" t="str">
        <x:f>IF(B11="","",IFERROR(INDEX(Planos_Contratos!$B$4:$B$203,MATCH(B11,Planos_Contratos!$A$4:$A$203,0)),""))</x:f>
        <x:v>Paciente 006</x:v>
      </x:c>
      <x:c r="D11" s="68" t="n">
        <x:f>IF(B11="","",IFERROR(INDEX(Planos_Contratos!$C$4:$C$203,MATCH(B11,Planos_Contratos!$A$4:$A$203,0)),""))</x:f>
        <x:v>6</x:v>
      </x:c>
      <x:c r="E11" s="72">
        <x:v>46279</x:v>
      </x:c>
      <x:c r="F11" s="72"/>
      <x:c r="G11" s="92" t="n">
        <x:f>IF(B11="","",IFERROR(INDEX(Planos_Contratos!$L$4:$L$203,MATCH(B11,Planos_Contratos!$A$4:$A$203,0))/MAX(1,INDEX(Planos_Contratos!$M$4:$M$203,MATCH(B11,Planos_Contratos!$A$4:$A$203,0))),""))</x:f>
        <x:v>450</x:v>
      </x:c>
      <x:c r="H11" s="112">
        <x:v>11.88</x:v>
      </x:c>
      <x:c r="I11" s="92">
        <x:f t="shared" si="1"/>
        <x:v>438.12</x:v>
      </x:c>
      <x:c r="J11" s="68" t="str">
        <x:f>IF(B11="","",IFERROR(INDEX(Planos_Contratos!$I$4:$I$203,MATCH(B11,Planos_Contratos!$A$4:$A$203,0)),""))</x:f>
        <x:v>Cartão Crédito</x:v>
      </x:c>
      <x:c r="K11" s="70">
        <x:v>2</x:v>
      </x:c>
      <x:c r="L11" s="96" t="n">
        <x:f>IF(B11="","",IFERROR(INDEX(Planos_Contratos!$M$4:$M$203,MATCH(B11,Planos_Contratos!$A$4:$A$203,0)),""))</x:f>
        <x:v>4</x:v>
      </x:c>
      <x:c r="M11" s="64" t="s">
        <x:v>93</x:v>
      </x:c>
    </x:row>
    <x:row r="12" ht="20" customHeight="1">
      <x:c r="A12" s="68">
        <x:f t="shared" si="0"/>
        <x:v>9</x:v>
      </x:c>
      <x:c r="B12" s="64">
        <x:v>6</x:v>
      </x:c>
      <x:c r="C12" s="68" t="str">
        <x:f>IF(B12="","",IFERROR(INDEX(Planos_Contratos!$B$4:$B$203,MATCH(B12,Planos_Contratos!$A$4:$A$203,0)),""))</x:f>
        <x:v>Paciente 006</x:v>
      </x:c>
      <x:c r="D12" s="68" t="n">
        <x:f>IF(B12="","",IFERROR(INDEX(Planos_Contratos!$C$4:$C$203,MATCH(B12,Planos_Contratos!$A$4:$A$203,0)),""))</x:f>
        <x:v>6</x:v>
      </x:c>
      <x:c r="E12" s="72">
        <x:v>46309</x:v>
      </x:c>
      <x:c r="F12" s="72"/>
      <x:c r="G12" s="92" t="n">
        <x:f>IF(B12="","",IFERROR(INDEX(Planos_Contratos!$L$4:$L$203,MATCH(B12,Planos_Contratos!$A$4:$A$203,0))/MAX(1,INDEX(Planos_Contratos!$M$4:$M$203,MATCH(B12,Planos_Contratos!$A$4:$A$203,0))),""))</x:f>
        <x:v>450</x:v>
      </x:c>
      <x:c r="H12" s="112">
        <x:v>14.26</x:v>
      </x:c>
      <x:c r="I12" s="92">
        <x:f t="shared" si="1"/>
        <x:v>435.74</x:v>
      </x:c>
      <x:c r="J12" s="68" t="str">
        <x:f>IF(B12="","",IFERROR(INDEX(Planos_Contratos!$I$4:$I$203,MATCH(B12,Planos_Contratos!$A$4:$A$203,0)),""))</x:f>
        <x:v>Cartão Crédito</x:v>
      </x:c>
      <x:c r="K12" s="70">
        <x:v>3</x:v>
      </x:c>
      <x:c r="L12" s="96" t="n">
        <x:f>IF(B12="","",IFERROR(INDEX(Planos_Contratos!$M$4:$M$203,MATCH(B12,Planos_Contratos!$A$4:$A$203,0)),""))</x:f>
        <x:v>4</x:v>
      </x:c>
      <x:c r="M12" s="64" t="s">
        <x:v>93</x:v>
      </x:c>
    </x:row>
    <x:row r="13" ht="20" customHeight="1">
      <x:c r="A13" s="68">
        <x:f t="shared" si="0"/>
        <x:v>10</x:v>
      </x:c>
      <x:c r="B13" s="64">
        <x:v>6</x:v>
      </x:c>
      <x:c r="C13" s="68" t="str">
        <x:f>IF(B13="","",IFERROR(INDEX(Planos_Contratos!$B$4:$B$203,MATCH(B13,Planos_Contratos!$A$4:$A$203,0)),""))</x:f>
        <x:v>Paciente 006</x:v>
      </x:c>
      <x:c r="D13" s="68" t="n">
        <x:f>IF(B13="","",IFERROR(INDEX(Planos_Contratos!$C$4:$C$203,MATCH(B13,Planos_Contratos!$A$4:$A$203,0)),""))</x:f>
        <x:v>6</x:v>
      </x:c>
      <x:c r="E13" s="72">
        <x:v>46339</x:v>
      </x:c>
      <x:c r="F13" s="72"/>
      <x:c r="G13" s="92" t="n">
        <x:f>IF(B13="","",IFERROR(INDEX(Planos_Contratos!$L$4:$L$203,MATCH(B13,Planos_Contratos!$A$4:$A$203,0))/MAX(1,INDEX(Planos_Contratos!$M$4:$M$203,MATCH(B13,Planos_Contratos!$A$4:$A$203,0))),""))</x:f>
        <x:v>450</x:v>
      </x:c>
      <x:c r="H13" s="112">
        <x:v>7.92</x:v>
      </x:c>
      <x:c r="I13" s="92">
        <x:f t="shared" si="1"/>
        <x:v>442.08</x:v>
      </x:c>
      <x:c r="J13" s="68" t="str">
        <x:f>IF(B13="","",IFERROR(INDEX(Planos_Contratos!$I$4:$I$203,MATCH(B13,Planos_Contratos!$A$4:$A$203,0)),""))</x:f>
        <x:v>Cartão Crédito</x:v>
      </x:c>
      <x:c r="K13" s="70">
        <x:v>4</x:v>
      </x:c>
      <x:c r="L13" s="96" t="n">
        <x:f>IF(B13="","",IFERROR(INDEX(Planos_Contratos!$M$4:$M$203,MATCH(B13,Planos_Contratos!$A$4:$A$203,0)),""))</x:f>
        <x:v>4</x:v>
      </x:c>
      <x:c r="M13" s="64" t="s">
        <x:v>93</x:v>
      </x:c>
    </x:row>
    <x:row r="14" ht="20" customHeight="1">
      <x:c r="A14" s="68">
        <x:f t="shared" si="0"/>
        <x:v>11</x:v>
      </x:c>
      <x:c r="B14" s="64">
        <x:v>7</x:v>
      </x:c>
      <x:c r="C14" s="68" t="str">
        <x:f>IF(B14="","",IFERROR(INDEX(Planos_Contratos!$B$4:$B$203,MATCH(B14,Planos_Contratos!$A$4:$A$203,0)),""))</x:f>
        <x:v>Paciente 007</x:v>
      </x:c>
      <x:c r="D14" s="68" t="n">
        <x:f>IF(B14="","",IFERROR(INDEX(Planos_Contratos!$C$4:$C$203,MATCH(B14,Planos_Contratos!$A$4:$A$203,0)),""))</x:f>
        <x:v>7</x:v>
      </x:c>
      <x:c r="E14" s="72">
        <x:v>46024</x:v>
      </x:c>
      <x:c r="F14" s="72">
        <x:v>46026</x:v>
      </x:c>
      <x:c r="G14" s="92" t="n">
        <x:f>IF(B14="","",IFERROR(INDEX(Planos_Contratos!$L$4:$L$203,MATCH(B14,Planos_Contratos!$A$4:$A$203,0))/MAX(1,INDEX(Planos_Contratos!$M$4:$M$203,MATCH(B14,Planos_Contratos!$A$4:$A$203,0))),""))</x:f>
        <x:v>3888</x:v>
      </x:c>
      <x:c r="H14" s="112">
        <x:v>0</x:v>
      </x:c>
      <x:c r="I14" s="92">
        <x:f t="shared" si="1"/>
        <x:v>3888</x:v>
      </x:c>
      <x:c r="J14" s="68" t="str">
        <x:f>IF(B14="","",IFERROR(INDEX(Planos_Contratos!$I$4:$I$203,MATCH(B14,Planos_Contratos!$A$4:$A$203,0)),""))</x:f>
        <x:v>PIX</x:v>
      </x:c>
      <x:c r="K14" s="70">
        <x:v>1</x:v>
      </x:c>
      <x:c r="L14" s="96" t="str">
        <x:f>IF(B14="","",IFERROR(INDEX(Planos_Contratos!$M$4:$M$203,MATCH(B14,Planos_Contratos!$A$4:$A$203,0)),""))</x:f>
      </x:c>
      <x:c r="M14" s="64" t="s">
        <x:v>92</x:v>
      </x:c>
    </x:row>
    <x:row r="15" ht="20" customHeight="1">
      <x:c r="A15" s="68">
        <x:f t="shared" si="0"/>
        <x:v>12</x:v>
      </x:c>
      <x:c r="B15" s="64">
        <x:v>8</x:v>
      </x:c>
      <x:c r="C15" s="68" t="str">
        <x:f>IF(B15="","",IFERROR(INDEX(Planos_Contratos!$B$4:$B$203,MATCH(B15,Planos_Contratos!$A$4:$A$203,0)),""))</x:f>
        <x:v>Paciente 008</x:v>
      </x:c>
      <x:c r="D15" s="68" t="n">
        <x:f>IF(B15="","",IFERROR(INDEX(Planos_Contratos!$C$4:$C$203,MATCH(B15,Planos_Contratos!$A$4:$A$203,0)),""))</x:f>
        <x:v>8</x:v>
      </x:c>
      <x:c r="E15" s="72">
        <x:v>46028</x:v>
      </x:c>
      <x:c r="F15" s="72">
        <x:v>46028</x:v>
      </x:c>
      <x:c r="G15" s="92" t="n">
        <x:f>IF(B15="","",IFERROR(INDEX(Planos_Contratos!$L$4:$L$203,MATCH(B15,Planos_Contratos!$A$4:$A$203,0))/MAX(1,INDEX(Planos_Contratos!$M$4:$M$203,MATCH(B15,Planos_Contratos!$A$4:$A$203,0))),""))</x:f>
        <x:v>5760</x:v>
      </x:c>
      <x:c r="H15" s="112">
        <x:v>7.29</x:v>
      </x:c>
      <x:c r="I15" s="92">
        <x:f t="shared" si="1"/>
        <x:v>5752.71</x:v>
      </x:c>
      <x:c r="J15" s="68" t="str">
        <x:f>IF(B15="","",IFERROR(INDEX(Planos_Contratos!$I$4:$I$203,MATCH(B15,Planos_Contratos!$A$4:$A$203,0)),""))</x:f>
        <x:v>Cartão Débito</x:v>
      </x:c>
      <x:c r="K15" s="70">
        <x:v>1</x:v>
      </x:c>
      <x:c r="L15" s="96" t="str">
        <x:f>IF(B15="","",IFERROR(INDEX(Planos_Contratos!$M$4:$M$203,MATCH(B15,Planos_Contratos!$A$4:$A$203,0)),""))</x:f>
      </x:c>
      <x:c r="M15" s="64" t="s">
        <x:v>92</x:v>
      </x:c>
    </x:row>
    <x:row r="16" ht="20" customHeight="1">
      <x:c r="A16" s="68">
        <x:f t="shared" si="0"/>
        <x:v>13</x:v>
      </x:c>
      <x:c r="B16" s="64">
        <x:v>9</x:v>
      </x:c>
      <x:c r="C16" s="68" t="str">
        <x:f>IF(B16="","",IFERROR(INDEX(Planos_Contratos!$B$4:$B$203,MATCH(B16,Planos_Contratos!$A$4:$A$203,0)),""))</x:f>
        <x:v>Paciente 009</x:v>
      </x:c>
      <x:c r="D16" s="68" t="n">
        <x:f>IF(B16="","",IFERROR(INDEX(Planos_Contratos!$C$4:$C$203,MATCH(B16,Planos_Contratos!$A$4:$A$203,0)),""))</x:f>
        <x:v>9</x:v>
      </x:c>
      <x:c r="E16" s="72">
        <x:v>46082</x:v>
      </x:c>
      <x:c r="F16" s="72">
        <x:v>46082</x:v>
      </x:c>
      <x:c r="G16" s="92" t="n">
        <x:f>IF(B16="","",IFERROR(INDEX(Planos_Contratos!$L$4:$L$203,MATCH(B16,Planos_Contratos!$A$4:$A$203,0))/MAX(1,INDEX(Planos_Contratos!$M$4:$M$203,MATCH(B16,Planos_Contratos!$A$4:$A$203,0))),""))</x:f>
        <x:v>1080</x:v>
      </x:c>
      <x:c r="H16" s="112">
        <x:v>0</x:v>
      </x:c>
      <x:c r="I16" s="92">
        <x:f t="shared" si="1"/>
        <x:v>1080</x:v>
      </x:c>
      <x:c r="J16" s="68" t="str">
        <x:f>IF(B16="","",IFERROR(INDEX(Planos_Contratos!$I$4:$I$203,MATCH(B16,Planos_Contratos!$A$4:$A$203,0)),""))</x:f>
        <x:v>Dinheiro</x:v>
      </x:c>
      <x:c r="K16" s="70">
        <x:v>1</x:v>
      </x:c>
      <x:c r="L16" s="96" t="str">
        <x:f>IF(B16="","",IFERROR(INDEX(Planos_Contratos!$M$4:$M$203,MATCH(B16,Planos_Contratos!$A$4:$A$203,0)),""))</x:f>
      </x:c>
      <x:c r="M16" s="64" t="s">
        <x:v>92</x:v>
      </x:c>
    </x:row>
    <x:row r="17" ht="20" customHeight="1">
      <x:c r="A17" s="68">
        <x:f t="shared" si="0"/>
        <x:v>14</x:v>
      </x:c>
      <x:c r="B17" s="64">
        <x:v>10</x:v>
      </x:c>
      <x:c r="C17" s="68" t="str">
        <x:f>IF(B17="","",IFERROR(INDEX(Planos_Contratos!$B$4:$B$203,MATCH(B17,Planos_Contratos!$A$4:$A$203,0)),""))</x:f>
        <x:v>Paciente 010</x:v>
      </x:c>
      <x:c r="D17" s="68" t="n">
        <x:f>IF(B17="","",IFERROR(INDEX(Planos_Contratos!$C$4:$C$203,MATCH(B17,Planos_Contratos!$A$4:$A$203,0)),""))</x:f>
        <x:v>10</x:v>
      </x:c>
      <x:c r="E17" s="72">
        <x:v>46140</x:v>
      </x:c>
      <x:c r="F17" s="72">
        <x:v>46141</x:v>
      </x:c>
      <x:c r="G17" s="92" t="n">
        <x:f>IF(B17="","",IFERROR(INDEX(Planos_Contratos!$L$4:$L$203,MATCH(B17,Planos_Contratos!$A$4:$A$203,0))/MAX(1,INDEX(Planos_Contratos!$M$4:$M$203,MATCH(B17,Planos_Contratos!$A$4:$A$203,0))),""))</x:f>
        <x:v>1620</x:v>
      </x:c>
      <x:c r="H17" s="112">
        <x:v>11.52</x:v>
      </x:c>
      <x:c r="I17" s="92">
        <x:f t="shared" si="1"/>
        <x:v>1608.48</x:v>
      </x:c>
      <x:c r="J17" s="68" t="str">
        <x:f>IF(B17="","",IFERROR(INDEX(Planos_Contratos!$I$4:$I$203,MATCH(B17,Planos_Contratos!$A$4:$A$203,0)),""))</x:f>
        <x:v>Cartão Crédito</x:v>
      </x:c>
      <x:c r="K17" s="70">
        <x:v>1</x:v>
      </x:c>
      <x:c r="L17" s="96" t="str">
        <x:f>IF(B17="","",IFERROR(INDEX(Planos_Contratos!$M$4:$M$203,MATCH(B17,Planos_Contratos!$A$4:$A$203,0)),""))</x:f>
      </x:c>
      <x:c r="M17" s="64" t="s">
        <x:v>92</x:v>
      </x:c>
    </x:row>
    <x:row r="18" ht="20" customHeight="1">
      <x:c r="A18" s="68">
        <x:f t="shared" si="0"/>
        <x:v>15</x:v>
      </x:c>
      <x:c r="B18" s="64">
        <x:v>11</x:v>
      </x:c>
      <x:c r="C18" s="68" t="str">
        <x:f>IF(B18="","",IFERROR(INDEX(Planos_Contratos!$B$4:$B$203,MATCH(B18,Planos_Contratos!$A$4:$A$203,0)),""))</x:f>
        <x:v>Paciente 011</x:v>
      </x:c>
      <x:c r="D18" s="68" t="n">
        <x:f>IF(B18="","",IFERROR(INDEX(Planos_Contratos!$C$4:$C$203,MATCH(B18,Planos_Contratos!$A$4:$A$203,0)),""))</x:f>
        <x:v>11</x:v>
      </x:c>
      <x:c r="E18" s="72">
        <x:v>46267</x:v>
      </x:c>
      <x:c r="F18" s="72">
        <x:v>46267</x:v>
      </x:c>
      <x:c r="G18" s="92" t="n">
        <x:f>IF(B18="","",IFERROR(INDEX(Planos_Contratos!$L$4:$L$203,MATCH(B18,Planos_Contratos!$A$4:$A$203,0))/MAX(1,INDEX(Planos_Contratos!$M$4:$M$203,MATCH(B18,Planos_Contratos!$A$4:$A$203,0))),""))</x:f>
        <x:v>243</x:v>
      </x:c>
      <x:c r="H18" s="112">
        <x:v>0</x:v>
      </x:c>
      <x:c r="I18" s="92">
        <x:f t="shared" si="1"/>
        <x:v>243</x:v>
      </x:c>
      <x:c r="J18" s="68" t="str">
        <x:f>IF(B18="","",IFERROR(INDEX(Planos_Contratos!$I$4:$I$203,MATCH(B18,Planos_Contratos!$A$4:$A$203,0)),""))</x:f>
        <x:v>PIX</x:v>
      </x:c>
      <x:c r="K18" s="70">
        <x:v>1</x:v>
      </x:c>
      <x:c r="L18" s="96" t="str">
        <x:f>IF(B18="","",IFERROR(INDEX(Planos_Contratos!$M$4:$M$203,MATCH(B18,Planos_Contratos!$A$4:$A$203,0)),""))</x:f>
      </x:c>
      <x:c r="M18" s="64" t="s">
        <x:v>92</x:v>
      </x:c>
    </x:row>
    <x:row r="19" ht="20" customHeight="1">
      <x:c r="A19" s="68">
        <x:f t="shared" si="0"/>
        <x:v>16</x:v>
      </x:c>
      <x:c r="B19" s="64">
        <x:v>12</x:v>
      </x:c>
      <x:c r="C19" s="68" t="str">
        <x:f>IF(B19="","",IFERROR(INDEX(Planos_Contratos!$B$4:$B$203,MATCH(B19,Planos_Contratos!$A$4:$A$203,0)),""))</x:f>
        <x:v>Paciente 007</x:v>
      </x:c>
      <x:c r="D19" s="68" t="n">
        <x:f>IF(B19="","",IFERROR(INDEX(Planos_Contratos!$C$4:$C$203,MATCH(B19,Planos_Contratos!$A$4:$A$203,0)),""))</x:f>
        <x:v>7</x:v>
      </x:c>
      <x:c r="E19" s="72">
        <x:v>46034</x:v>
      </x:c>
      <x:c r="F19" s="72">
        <x:v>46035</x:v>
      </x:c>
      <x:c r="G19" s="92" t="n">
        <x:f>IF(B19="","",IFERROR(INDEX(Planos_Contratos!$L$4:$L$203,MATCH(B19,Planos_Contratos!$A$4:$A$203,0))/MAX(1,INDEX(Planos_Contratos!$M$4:$M$203,MATCH(B19,Planos_Contratos!$A$4:$A$203,0))),""))</x:f>
        <x:v>648</x:v>
      </x:c>
      <x:c r="H19" s="112">
        <x:v>0</x:v>
      </x:c>
      <x:c r="I19" s="92">
        <x:f t="shared" si="1"/>
        <x:v>648</x:v>
      </x:c>
      <x:c r="J19" s="68" t="str">
        <x:f>IF(B19="","",IFERROR(INDEX(Planos_Contratos!$I$4:$I$203,MATCH(B19,Planos_Contratos!$A$4:$A$203,0)),""))</x:f>
        <x:v>PIX</x:v>
      </x:c>
      <x:c r="K19" s="70">
        <x:v>1</x:v>
      </x:c>
      <x:c r="L19" s="96" t="n">
        <x:f>IF(B19="","",IFERROR(INDEX(Planos_Contratos!$M$4:$M$203,MATCH(B19,Planos_Contratos!$A$4:$A$203,0)),""))</x:f>
        <x:v>1</x:v>
      </x:c>
      <x:c r="M19" s="64" t="s">
        <x:v>92</x:v>
      </x:c>
    </x:row>
    <x:row r="20" ht="20" customHeight="1">
      <x:c r="A20" s="68">
        <x:f t="shared" si="0"/>
        <x:v>17</x:v>
      </x:c>
      <x:c r="B20" s="64">
        <x:v>13</x:v>
      </x:c>
      <x:c r="C20" s="68" t="str">
        <x:f>IF(B20="","",IFERROR(INDEX(Planos_Contratos!$B$4:$B$203,MATCH(B20,Planos_Contratos!$A$4:$A$203,0)),""))</x:f>
        <x:v>Paciente 008</x:v>
      </x:c>
      <x:c r="D20" s="68" t="n">
        <x:f>IF(B20="","",IFERROR(INDEX(Planos_Contratos!$C$4:$C$203,MATCH(B20,Planos_Contratos!$A$4:$A$203,0)),""))</x:f>
        <x:v>8</x:v>
      </x:c>
      <x:c r="E20" s="72">
        <x:v>46060</x:v>
      </x:c>
      <x:c r="F20" s="72">
        <x:v>46061</x:v>
      </x:c>
      <x:c r="G20" s="92" t="n">
        <x:f>IF(B20="","",IFERROR(INDEX(Planos_Contratos!$L$4:$L$203,MATCH(B20,Planos_Contratos!$A$4:$A$203,0))/MAX(1,INDEX(Planos_Contratos!$M$4:$M$203,MATCH(B20,Planos_Contratos!$A$4:$A$203,0))),""))</x:f>
        <x:v>324</x:v>
      </x:c>
      <x:c r="H20" s="112">
        <x:v>23.33</x:v>
      </x:c>
      <x:c r="I20" s="92">
        <x:f t="shared" si="1"/>
        <x:v>300.67</x:v>
      </x:c>
      <x:c r="J20" s="68" t="str">
        <x:f>IF(B20="","",IFERROR(INDEX(Planos_Contratos!$I$4:$I$203,MATCH(B20,Planos_Contratos!$A$4:$A$203,0)),""))</x:f>
        <x:v>Cartão Crédito</x:v>
      </x:c>
      <x:c r="K20" s="70">
        <x:v>1</x:v>
      </x:c>
      <x:c r="L20" s="96" t="n">
        <x:f>IF(B20="","",IFERROR(INDEX(Planos_Contratos!$M$4:$M$203,MATCH(B20,Planos_Contratos!$A$4:$A$203,0)),""))</x:f>
        <x:v>2</x:v>
      </x:c>
      <x:c r="M20" s="64" t="s">
        <x:v>92</x:v>
      </x:c>
    </x:row>
    <x:row r="21" ht="20" customHeight="1">
      <x:c r="A21" s="68">
        <x:f t="shared" si="0"/>
        <x:v>18</x:v>
      </x:c>
      <x:c r="B21" s="64">
        <x:v>13</x:v>
      </x:c>
      <x:c r="C21" s="68" t="str">
        <x:f>IF(B21="","",IFERROR(INDEX(Planos_Contratos!$B$4:$B$203,MATCH(B21,Planos_Contratos!$A$4:$A$203,0)),""))</x:f>
        <x:v>Paciente 008</x:v>
      </x:c>
      <x:c r="D21" s="68" t="n">
        <x:f>IF(B21="","",IFERROR(INDEX(Planos_Contratos!$C$4:$C$203,MATCH(B21,Planos_Contratos!$A$4:$A$203,0)),""))</x:f>
        <x:v>8</x:v>
      </x:c>
      <x:c r="E21" s="72">
        <x:v>46090</x:v>
      </x:c>
      <x:c r="F21" s="72">
        <x:v>46090</x:v>
      </x:c>
      <x:c r="G21" s="92" t="n">
        <x:f>IF(B21="","",IFERROR(INDEX(Planos_Contratos!$L$4:$L$203,MATCH(B21,Planos_Contratos!$A$4:$A$203,0))/MAX(1,INDEX(Planos_Contratos!$M$4:$M$203,MATCH(B21,Planos_Contratos!$A$4:$A$203,0))),""))</x:f>
        <x:v>324</x:v>
      </x:c>
      <x:c r="H21" s="112">
        <x:v>23.33</x:v>
      </x:c>
      <x:c r="I21" s="92">
        <x:f t="shared" si="1"/>
        <x:v>300.67</x:v>
      </x:c>
      <x:c r="J21" s="68" t="str">
        <x:f>IF(B21="","",IFERROR(INDEX(Planos_Contratos!$I$4:$I$203,MATCH(B21,Planos_Contratos!$A$4:$A$203,0)),""))</x:f>
        <x:v>Cartão Crédito</x:v>
      </x:c>
      <x:c r="K21" s="70">
        <x:v>2</x:v>
      </x:c>
      <x:c r="L21" s="96" t="n">
        <x:f>IF(B21="","",IFERROR(INDEX(Planos_Contratos!$M$4:$M$203,MATCH(B21,Planos_Contratos!$A$4:$A$203,0)),""))</x:f>
        <x:v>2</x:v>
      </x:c>
      <x:c r="M21" s="64" t="s">
        <x:v>92</x:v>
      </x:c>
    </x:row>
    <x:row r="22" ht="20" customHeight="1">
      <x:c r="A22" s="68">
        <x:f t="shared" si="0"/>
        <x:v>19</x:v>
      </x:c>
      <x:c r="B22" s="64">
        <x:v>14</x:v>
      </x:c>
      <x:c r="C22" s="68" t="str">
        <x:f>IF(B22="","",IFERROR(INDEX(Planos_Contratos!$B$4:$B$203,MATCH(B22,Planos_Contratos!$A$4:$A$203,0)),""))</x:f>
        <x:v>Paciente 005</x:v>
      </x:c>
      <x:c r="D22" s="68" t="n">
        <x:f>IF(B22="","",IFERROR(INDEX(Planos_Contratos!$C$4:$C$203,MATCH(B22,Planos_Contratos!$A$4:$A$203,0)),""))</x:f>
        <x:v>5</x:v>
      </x:c>
      <x:c r="E22" s="72">
        <x:v>46091</x:v>
      </x:c>
      <x:c r="F22" s="72">
        <x:v>46092</x:v>
      </x:c>
      <x:c r="G22" s="92" t="n">
        <x:f>IF(B22="","",IFERROR(INDEX(Planos_Contratos!$L$4:$L$203,MATCH(B22,Planos_Contratos!$A$4:$A$203,0))/MAX(1,INDEX(Planos_Contratos!$M$4:$M$203,MATCH(B22,Planos_Contratos!$A$4:$A$203,0))),""))</x:f>
        <x:v>720</x:v>
      </x:c>
      <x:c r="H22" s="112">
        <x:v>7.29</x:v>
      </x:c>
      <x:c r="I22" s="92">
        <x:f t="shared" si="1"/>
        <x:v>712.71</x:v>
      </x:c>
      <x:c r="J22" s="68" t="str">
        <x:f>IF(B22="","",IFERROR(INDEX(Planos_Contratos!$I$4:$I$203,MATCH(B22,Planos_Contratos!$A$4:$A$203,0)),""))</x:f>
        <x:v>Cartão Débito</x:v>
      </x:c>
      <x:c r="K22" s="70">
        <x:v>1</x:v>
      </x:c>
      <x:c r="L22" s="96" t="n">
        <x:f>IF(B22="","",IFERROR(INDEX(Planos_Contratos!$M$4:$M$203,MATCH(B22,Planos_Contratos!$A$4:$A$203,0)),""))</x:f>
        <x:v>1</x:v>
      </x:c>
      <x:c r="M22" s="64" t="s">
        <x:v>92</x:v>
      </x:c>
    </x:row>
    <x:row r="23" ht="20" customHeight="1">
      <x:c r="A23" s="68">
        <x:f t="shared" si="0"/>
        <x:v>20</x:v>
      </x:c>
      <x:c r="B23" s="64">
        <x:v>15</x:v>
      </x:c>
      <x:c r="C23" s="68" t="str">
        <x:f>IF(B23="","",IFERROR(INDEX(Planos_Contratos!$B$4:$B$203,MATCH(B23,Planos_Contratos!$A$4:$A$203,0)),""))</x:f>
        <x:v>Paciente 004</x:v>
      </x:c>
      <x:c r="D23" s="68" t="n">
        <x:f>IF(B23="","",IFERROR(INDEX(Planos_Contratos!$C$4:$C$203,MATCH(B23,Planos_Contratos!$A$4:$A$203,0)),""))</x:f>
        <x:v>4</x:v>
      </x:c>
      <x:c r="E23" s="72">
        <x:v>46118</x:v>
      </x:c>
      <x:c r="F23" s="72">
        <x:v>46119</x:v>
      </x:c>
      <x:c r="G23" s="92" t="n">
        <x:f>IF(B23="","",IFERROR(INDEX(Planos_Contratos!$L$4:$L$203,MATCH(B23,Planos_Contratos!$A$4:$A$203,0))/MAX(1,INDEX(Planos_Contratos!$M$4:$M$203,MATCH(B23,Planos_Contratos!$A$4:$A$203,0))),""))</x:f>
        <x:v>270</x:v>
      </x:c>
      <x:c r="H23" s="112">
        <x:v>0</x:v>
      </x:c>
      <x:c r="I23" s="92">
        <x:f t="shared" si="1"/>
        <x:v>270</x:v>
      </x:c>
      <x:c r="J23" s="68" t="str">
        <x:f>IF(B23="","",IFERROR(INDEX(Planos_Contratos!$I$4:$I$203,MATCH(B23,Planos_Contratos!$A$4:$A$203,0)),""))</x:f>
        <x:v>Dinheiro</x:v>
      </x:c>
      <x:c r="K23" s="70">
        <x:v>1</x:v>
      </x:c>
      <x:c r="L23" s="96" t="n">
        <x:f>IF(B23="","",IFERROR(INDEX(Planos_Contratos!$M$4:$M$203,MATCH(B23,Planos_Contratos!$A$4:$A$203,0)),""))</x:f>
        <x:v>1</x:v>
      </x:c>
      <x:c r="M23" s="64" t="s">
        <x:v>92</x:v>
      </x:c>
    </x:row>
    <x:row r="24" ht="20" customHeight="1">
      <x:c r="A24" s="68">
        <x:f t="shared" si="0"/>
        <x:v>21</x:v>
      </x:c>
      <x:c r="B24" s="64">
        <x:v>16</x:v>
      </x:c>
      <x:c r="C24" s="68" t="str">
        <x:f>IF(B24="","",IFERROR(INDEX(Planos_Contratos!$B$4:$B$203,MATCH(B24,Planos_Contratos!$A$4:$A$203,0)),""))</x:f>
        <x:v>Paciente 010</x:v>
      </x:c>
      <x:c r="D24" s="68" t="n">
        <x:f>IF(B24="","",IFERROR(INDEX(Planos_Contratos!$C$4:$C$203,MATCH(B24,Planos_Contratos!$A$4:$A$203,0)),""))</x:f>
        <x:v>10</x:v>
      </x:c>
      <x:c r="E24" s="72">
        <x:v>46156</x:v>
      </x:c>
      <x:c r="F24" s="72">
        <x:v>46158</x:v>
      </x:c>
      <x:c r="G24" s="92" t="n">
        <x:f>IF(B24="","",IFERROR(INDEX(Planos_Contratos!$L$4:$L$203,MATCH(B24,Planos_Contratos!$A$4:$A$203,0))/MAX(1,INDEX(Planos_Contratos!$M$4:$M$203,MATCH(B24,Planos_Contratos!$A$4:$A$203,0))),""))</x:f>
        <x:v>291.6</x:v>
      </x:c>
      <x:c r="H24" s="112">
        <x:v>0</x:v>
      </x:c>
      <x:c r="I24" s="92">
        <x:f t="shared" si="1"/>
        <x:v>291.60000000000002</x:v>
      </x:c>
      <x:c r="J24" s="68" t="str">
        <x:f>IF(B24="","",IFERROR(INDEX(Planos_Contratos!$I$4:$I$203,MATCH(B24,Planos_Contratos!$A$4:$A$203,0)),""))</x:f>
        <x:v>PIX</x:v>
      </x:c>
      <x:c r="K24" s="70">
        <x:v>1</x:v>
      </x:c>
      <x:c r="L24" s="96" t="n">
        <x:f>IF(B24="","",IFERROR(INDEX(Planos_Contratos!$M$4:$M$203,MATCH(B24,Planos_Contratos!$A$4:$A$203,0)),""))</x:f>
        <x:v>1</x:v>
      </x:c>
      <x:c r="M24" s="64" t="s">
        <x:v>92</x:v>
      </x:c>
    </x:row>
    <x:row r="25" ht="20" customHeight="1">
      <x:c r="A25" s="68">
        <x:f t="shared" si="0"/>
        <x:v>22</x:v>
      </x:c>
      <x:c r="B25" s="64">
        <x:v>17</x:v>
      </x:c>
      <x:c r="C25" s="68" t="str">
        <x:f>IF(B25="","",IFERROR(INDEX(Planos_Contratos!$B$4:$B$203,MATCH(B25,Planos_Contratos!$A$4:$A$203,0)),""))</x:f>
        <x:v>Paciente 009</x:v>
      </x:c>
      <x:c r="D25" s="68" t="n">
        <x:f>IF(B25="","",IFERROR(INDEX(Planos_Contratos!$C$4:$C$203,MATCH(B25,Planos_Contratos!$A$4:$A$203,0)),""))</x:f>
        <x:v>9</x:v>
      </x:c>
      <x:c r="E25" s="72">
        <x:v>46176</x:v>
      </x:c>
      <x:c r="F25" s="72">
        <x:v>46177</x:v>
      </x:c>
      <x:c r="G25" s="92" t="n">
        <x:f>IF(B25="","",IFERROR(INDEX(Planos_Contratos!$L$4:$L$203,MATCH(B25,Planos_Contratos!$A$4:$A$203,0))/MAX(1,INDEX(Planos_Contratos!$M$4:$M$203,MATCH(B25,Planos_Contratos!$A$4:$A$203,0))),""))</x:f>
        <x:v>180</x:v>
      </x:c>
      <x:c r="H25" s="112">
        <x:v>15.84</x:v>
      </x:c>
      <x:c r="I25" s="92">
        <x:f t="shared" si="1"/>
        <x:v>164.16</x:v>
      </x:c>
      <x:c r="J25" s="68" t="str">
        <x:f>IF(B25="","",IFERROR(INDEX(Planos_Contratos!$I$4:$I$203,MATCH(B25,Planos_Contratos!$A$4:$A$203,0)),""))</x:f>
        <x:v>Cartão Crédito</x:v>
      </x:c>
      <x:c r="K25" s="70">
        <x:v>1</x:v>
      </x:c>
      <x:c r="L25" s="96" t="n">
        <x:f>IF(B25="","",IFERROR(INDEX(Planos_Contratos!$M$4:$M$203,MATCH(B25,Planos_Contratos!$A$4:$A$203,0)),""))</x:f>
        <x:v>4</x:v>
      </x:c>
      <x:c r="M25" s="64" t="s">
        <x:v>92</x:v>
      </x:c>
    </x:row>
    <x:row r="26" ht="20" customHeight="1">
      <x:c r="A26" s="68">
        <x:f t="shared" si="0"/>
        <x:v>23</x:v>
      </x:c>
      <x:c r="B26" s="64">
        <x:v>17</x:v>
      </x:c>
      <x:c r="C26" s="68" t="str">
        <x:f>IF(B26="","",IFERROR(INDEX(Planos_Contratos!$B$4:$B$203,MATCH(B26,Planos_Contratos!$A$4:$A$203,0)),""))</x:f>
        <x:v>Paciente 009</x:v>
      </x:c>
      <x:c r="D26" s="68" t="n">
        <x:f>IF(B26="","",IFERROR(INDEX(Planos_Contratos!$C$4:$C$203,MATCH(B26,Planos_Contratos!$A$4:$A$203,0)),""))</x:f>
        <x:v>9</x:v>
      </x:c>
      <x:c r="E26" s="72">
        <x:v>46206</x:v>
      </x:c>
      <x:c r="F26" s="72">
        <x:v>46207</x:v>
      </x:c>
      <x:c r="G26" s="92" t="n">
        <x:f>IF(B26="","",IFERROR(INDEX(Planos_Contratos!$L$4:$L$203,MATCH(B26,Planos_Contratos!$A$4:$A$203,0))/MAX(1,INDEX(Planos_Contratos!$M$4:$M$203,MATCH(B26,Planos_Contratos!$A$4:$A$203,0))),""))</x:f>
        <x:v>180</x:v>
      </x:c>
      <x:c r="H26" s="112">
        <x:v>17.82</x:v>
      </x:c>
      <x:c r="I26" s="92">
        <x:f t="shared" si="1"/>
        <x:v>162.18</x:v>
      </x:c>
      <x:c r="J26" s="68" t="str">
        <x:f>IF(B26="","",IFERROR(INDEX(Planos_Contratos!$I$4:$I$203,MATCH(B26,Planos_Contratos!$A$4:$A$203,0)),""))</x:f>
        <x:v>Cartão Crédito</x:v>
      </x:c>
      <x:c r="K26" s="70">
        <x:v>2</x:v>
      </x:c>
      <x:c r="L26" s="96" t="n">
        <x:f>IF(B26="","",IFERROR(INDEX(Planos_Contratos!$M$4:$M$203,MATCH(B26,Planos_Contratos!$A$4:$A$203,0)),""))</x:f>
        <x:v>4</x:v>
      </x:c>
      <x:c r="M26" s="64" t="s">
        <x:v>92</x:v>
      </x:c>
    </x:row>
    <x:row r="27" ht="20" customHeight="1">
      <x:c r="A27" s="68">
        <x:f t="shared" si="0"/>
        <x:v>24</x:v>
      </x:c>
      <x:c r="B27" s="64">
        <x:v>17</x:v>
      </x:c>
      <x:c r="C27" s="68" t="str">
        <x:f>IF(B27="","",IFERROR(INDEX(Planos_Contratos!$B$4:$B$203,MATCH(B27,Planos_Contratos!$A$4:$A$203,0)),""))</x:f>
        <x:v>Paciente 009</x:v>
      </x:c>
      <x:c r="D27" s="68" t="n">
        <x:f>IF(B27="","",IFERROR(INDEX(Planos_Contratos!$C$4:$C$203,MATCH(B27,Planos_Contratos!$A$4:$A$203,0)),""))</x:f>
        <x:v>9</x:v>
      </x:c>
      <x:c r="E27" s="72">
        <x:v>46236</x:v>
      </x:c>
      <x:c r="F27" s="72">
        <x:v>46236</x:v>
      </x:c>
      <x:c r="G27" s="92" t="n">
        <x:f>IF(B27="","",IFERROR(INDEX(Planos_Contratos!$L$4:$L$203,MATCH(B27,Planos_Contratos!$A$4:$A$203,0))/MAX(1,INDEX(Planos_Contratos!$M$4:$M$203,MATCH(B27,Planos_Contratos!$A$4:$A$203,0))),""))</x:f>
        <x:v>180</x:v>
      </x:c>
      <x:c r="H27" s="112">
        <x:v>11.88</x:v>
      </x:c>
      <x:c r="I27" s="92">
        <x:f t="shared" si="1"/>
        <x:v>168.12</x:v>
      </x:c>
      <x:c r="J27" s="68" t="str">
        <x:f>IF(B27="","",IFERROR(INDEX(Planos_Contratos!$I$4:$I$203,MATCH(B27,Planos_Contratos!$A$4:$A$203,0)),""))</x:f>
        <x:v>Cartão Crédito</x:v>
      </x:c>
      <x:c r="K27" s="70">
        <x:v>3</x:v>
      </x:c>
      <x:c r="L27" s="96" t="n">
        <x:f>IF(B27="","",IFERROR(INDEX(Planos_Contratos!$M$4:$M$203,MATCH(B27,Planos_Contratos!$A$4:$A$203,0)),""))</x:f>
        <x:v>4</x:v>
      </x:c>
      <x:c r="M27" s="64" t="s">
        <x:v>92</x:v>
      </x:c>
    </x:row>
    <x:row r="28" ht="20" customHeight="1">
      <x:c r="A28" s="68">
        <x:f t="shared" si="0"/>
        <x:v>25</x:v>
      </x:c>
      <x:c r="B28" s="64">
        <x:v>17</x:v>
      </x:c>
      <x:c r="C28" s="68" t="str">
        <x:f>IF(B28="","",IFERROR(INDEX(Planos_Contratos!$B$4:$B$203,MATCH(B28,Planos_Contratos!$A$4:$A$203,0)),""))</x:f>
        <x:v>Paciente 009</x:v>
      </x:c>
      <x:c r="D28" s="68" t="n">
        <x:f>IF(B28="","",IFERROR(INDEX(Planos_Contratos!$C$4:$C$203,MATCH(B28,Planos_Contratos!$A$4:$A$203,0)),""))</x:f>
        <x:v>9</x:v>
      </x:c>
      <x:c r="E28" s="72">
        <x:v>46266</x:v>
      </x:c>
      <x:c r="F28" s="72">
        <x:v>46268</x:v>
      </x:c>
      <x:c r="G28" s="92" t="n">
        <x:f>IF(B28="","",IFERROR(INDEX(Planos_Contratos!$L$4:$L$203,MATCH(B28,Planos_Contratos!$A$4:$A$203,0))/MAX(1,INDEX(Planos_Contratos!$M$4:$M$203,MATCH(B28,Planos_Contratos!$A$4:$A$203,0))),""))</x:f>
        <x:v>180</x:v>
      </x:c>
      <x:c r="H28" s="112">
        <x:v>28.51</x:v>
      </x:c>
      <x:c r="I28" s="92">
        <x:f t="shared" si="1"/>
        <x:v>151.49</x:v>
      </x:c>
      <x:c r="J28" s="68" t="str">
        <x:f>IF(B28="","",IFERROR(INDEX(Planos_Contratos!$I$4:$I$203,MATCH(B28,Planos_Contratos!$A$4:$A$203,0)),""))</x:f>
        <x:v>Cartão Crédito</x:v>
      </x:c>
      <x:c r="K28" s="70">
        <x:v>4</x:v>
      </x:c>
      <x:c r="L28" s="96" t="n">
        <x:f>IF(B28="","",IFERROR(INDEX(Planos_Contratos!$M$4:$M$203,MATCH(B28,Planos_Contratos!$A$4:$A$203,0)),""))</x:f>
        <x:v>4</x:v>
      </x:c>
      <x:c r="M28" s="64" t="s">
        <x:v>92</x:v>
      </x:c>
    </x:row>
    <x:row r="29" ht="20" customHeight="1">
      <x:c r="A29" s="68">
        <x:f t="shared" si="0"/>
        <x:v>26</x:v>
      </x:c>
      <x:c r="B29" s="64">
        <x:v>18</x:v>
      </x:c>
      <x:c r="C29" s="68" t="str">
        <x:f>IF(B29="","",IFERROR(INDEX(Planos_Contratos!$B$4:$B$203,MATCH(B29,Planos_Contratos!$A$4:$A$203,0)),""))</x:f>
        <x:v>Paciente 003</x:v>
      </x:c>
      <x:c r="D29" s="68" t="n">
        <x:f>IF(B29="","",IFERROR(INDEX(Planos_Contratos!$C$4:$C$203,MATCH(B29,Planos_Contratos!$A$4:$A$203,0)),""))</x:f>
        <x:v>3</x:v>
      </x:c>
      <x:c r="E29" s="72">
        <x:v>46221</x:v>
      </x:c>
      <x:c r="F29" s="72">
        <x:v>46223</x:v>
      </x:c>
      <x:c r="G29" s="92" t="n">
        <x:f>IF(B29="","",IFERROR(INDEX(Planos_Contratos!$L$4:$L$203,MATCH(B29,Planos_Contratos!$A$4:$A$203,0))/MAX(1,INDEX(Planos_Contratos!$M$4:$M$203,MATCH(B29,Planos_Contratos!$A$4:$A$203,0))),""))</x:f>
        <x:v>648</x:v>
      </x:c>
      <x:c r="H29" s="112">
        <x:v>11.66</x:v>
      </x:c>
      <x:c r="I29" s="92">
        <x:f t="shared" si="1"/>
        <x:v>636.34</x:v>
      </x:c>
      <x:c r="J29" s="68" t="str">
        <x:f>IF(B29="","",IFERROR(INDEX(Planos_Contratos!$I$4:$I$203,MATCH(B29,Planos_Contratos!$A$4:$A$203,0)),""))</x:f>
        <x:v>Cartão Débito</x:v>
      </x:c>
      <x:c r="K29" s="70">
        <x:v>1</x:v>
      </x:c>
      <x:c r="L29" s="96" t="n">
        <x:f>IF(B29="","",IFERROR(INDEX(Planos_Contratos!$M$4:$M$203,MATCH(B29,Planos_Contratos!$A$4:$A$203,0)),""))</x:f>
        <x:v>1</x:v>
      </x:c>
      <x:c r="M29" s="64" t="s">
        <x:v>92</x:v>
      </x:c>
    </x:row>
    <x:row r="30" ht="20" customHeight="1">
      <x:c r="A30" s="68">
        <x:f t="shared" si="0"/>
        <x:v>27</x:v>
      </x:c>
      <x:c r="B30" s="64">
        <x:v>19</x:v>
      </x:c>
      <x:c r="C30" s="68" t="str">
        <x:f>IF(B30="","",IFERROR(INDEX(Planos_Contratos!$B$4:$B$203,MATCH(B30,Planos_Contratos!$A$4:$A$203,0)),""))</x:f>
        <x:v>Paciente 006</x:v>
      </x:c>
      <x:c r="D30" s="68" t="n">
        <x:f>IF(B30="","",IFERROR(INDEX(Planos_Contratos!$C$4:$C$203,MATCH(B30,Planos_Contratos!$A$4:$A$203,0)),""))</x:f>
        <x:v>6</x:v>
      </x:c>
      <x:c r="E30" s="72">
        <x:v>46254</x:v>
      </x:c>
      <x:c r="F30" s="72">
        <x:v>46254</x:v>
      </x:c>
      <x:c r="G30" s="92" t="n">
        <x:f>IF(B30="","",IFERROR(INDEX(Planos_Contratos!$L$4:$L$203,MATCH(B30,Planos_Contratos!$A$4:$A$203,0))/MAX(1,INDEX(Planos_Contratos!$M$4:$M$203,MATCH(B30,Planos_Contratos!$A$4:$A$203,0))),""))</x:f>
        <x:v>360</x:v>
      </x:c>
      <x:c r="H30" s="112">
        <x:v>14.58</x:v>
      </x:c>
      <x:c r="I30" s="92">
        <x:f t="shared" si="1"/>
        <x:v>345.42</x:v>
      </x:c>
      <x:c r="J30" s="68" t="str">
        <x:f>IF(B30="","",IFERROR(INDEX(Planos_Contratos!$I$4:$I$203,MATCH(B30,Planos_Contratos!$A$4:$A$203,0)),""))</x:f>
        <x:v>Cartão Crédito</x:v>
      </x:c>
      <x:c r="K30" s="70">
        <x:v>1</x:v>
      </x:c>
      <x:c r="L30" s="96" t="n">
        <x:f>IF(B30="","",IFERROR(INDEX(Planos_Contratos!$M$4:$M$203,MATCH(B30,Planos_Contratos!$A$4:$A$203,0)),""))</x:f>
        <x:v>2</x:v>
      </x:c>
      <x:c r="M30" s="64" t="s">
        <x:v>92</x:v>
      </x:c>
    </x:row>
    <x:row r="31" ht="20" customHeight="1">
      <x:c r="A31" s="68">
        <x:f t="shared" si="0"/>
        <x:v>28</x:v>
      </x:c>
      <x:c r="B31" s="64">
        <x:v>19</x:v>
      </x:c>
      <x:c r="C31" s="68" t="str">
        <x:f>IF(B31="","",IFERROR(INDEX(Planos_Contratos!$B$4:$B$203,MATCH(B31,Planos_Contratos!$A$4:$A$203,0)),""))</x:f>
        <x:v>Paciente 006</x:v>
      </x:c>
      <x:c r="D31" s="68" t="n">
        <x:f>IF(B31="","",IFERROR(INDEX(Planos_Contratos!$C$4:$C$203,MATCH(B31,Planos_Contratos!$A$4:$A$203,0)),""))</x:f>
        <x:v>6</x:v>
      </x:c>
      <x:c r="E31" s="72">
        <x:v>46284</x:v>
      </x:c>
      <x:c r="F31" s="72"/>
      <x:c r="G31" s="92" t="n">
        <x:f>IF(B31="","",IFERROR(INDEX(Planos_Contratos!$L$4:$L$203,MATCH(B31,Planos_Contratos!$A$4:$A$203,0))/MAX(1,INDEX(Planos_Contratos!$M$4:$M$203,MATCH(B31,Planos_Contratos!$A$4:$A$203,0))),""))</x:f>
        <x:v>360</x:v>
      </x:c>
      <x:c r="H31" s="112">
        <x:v>14.58</x:v>
      </x:c>
      <x:c r="I31" s="92">
        <x:f t="shared" si="1"/>
        <x:v>345.42</x:v>
      </x:c>
      <x:c r="J31" s="68" t="str">
        <x:f>IF(B31="","",IFERROR(INDEX(Planos_Contratos!$I$4:$I$203,MATCH(B31,Planos_Contratos!$A$4:$A$203,0)),""))</x:f>
        <x:v>Cartão Crédito</x:v>
      </x:c>
      <x:c r="K31" s="70">
        <x:v>2</x:v>
      </x:c>
      <x:c r="L31" s="96" t="n">
        <x:f>IF(B31="","",IFERROR(INDEX(Planos_Contratos!$M$4:$M$203,MATCH(B31,Planos_Contratos!$A$4:$A$203,0)),""))</x:f>
        <x:v>2</x:v>
      </x:c>
      <x:c r="M31" s="64" t="s">
        <x:v>93</x:v>
      </x:c>
    </x:row>
    <x:row r="32" ht="20" customHeight="1">
      <x:c r="A32" s="68" t="str">
        <x:f t="shared" si="0"/>
      </x:c>
      <x:c r="B32" s="64"/>
      <x:c r="C32" s="68" t="str">
        <x:f>IF(B32="","",IFERROR(INDEX(Planos_Contratos!$B$4:$B$203,MATCH(B32,Planos_Contratos!$A$4:$A$203,0)),""))</x:f>
      </x:c>
      <x:c r="D32" s="68" t="str">
        <x:f>IF(B32="","",IFERROR(INDEX(Planos_Contratos!$C$4:$C$203,MATCH(B32,Planos_Contratos!$A$4:$A$203,0)),""))</x:f>
      </x:c>
      <x:c r="E32" s="72"/>
      <x:c r="F32" s="72"/>
      <x:c r="G32" s="92" t="str">
        <x:f>IF(B32="","",IFERROR(INDEX(Planos_Contratos!$L$4:$L$203,MATCH(B32,Planos_Contratos!$A$4:$A$203,0))/MAX(1,INDEX(Planos_Contratos!$M$4:$M$203,MATCH(B32,Planos_Contratos!$A$4:$A$203,0))),""))</x:f>
      </x:c>
      <x:c r="H32" s="112"/>
      <x:c r="I32" s="92" t="str">
        <x:f t="shared" si="1"/>
      </x:c>
      <x:c r="J32" s="68" t="str">
        <x:f>IF(B32="","",IFERROR(INDEX(Planos_Contratos!$I$4:$I$203,MATCH(B32,Planos_Contratos!$A$4:$A$203,0)),""))</x:f>
      </x:c>
      <x:c r="K32" s="70"/>
      <x:c r="L32" s="96" t="str">
        <x:f>IF(B32="","",IFERROR(INDEX(Planos_Contratos!$M$4:$M$203,MATCH(B32,Planos_Contratos!$A$4:$A$203,0)),""))</x:f>
      </x:c>
      <x:c r="M32" s="64"/>
    </x:row>
    <x:row r="33" ht="20" customHeight="1">
      <x:c r="A33" s="68" t="str">
        <x:f t="shared" si="0"/>
      </x:c>
      <x:c r="B33" s="64"/>
      <x:c r="C33" s="68" t="str">
        <x:f>IF(B33="","",IFERROR(INDEX(Planos_Contratos!$B$4:$B$203,MATCH(B33,Planos_Contratos!$A$4:$A$203,0)),""))</x:f>
      </x:c>
      <x:c r="D33" s="68" t="str">
        <x:f>IF(B33="","",IFERROR(INDEX(Planos_Contratos!$C$4:$C$203,MATCH(B33,Planos_Contratos!$A$4:$A$203,0)),""))</x:f>
      </x:c>
      <x:c r="E33" s="72"/>
      <x:c r="F33" s="72"/>
      <x:c r="G33" s="92" t="str">
        <x:f>IF(B33="","",IFERROR(INDEX(Planos_Contratos!$L$4:$L$203,MATCH(B33,Planos_Contratos!$A$4:$A$203,0))/MAX(1,INDEX(Planos_Contratos!$M$4:$M$203,MATCH(B33,Planos_Contratos!$A$4:$A$203,0))),""))</x:f>
      </x:c>
      <x:c r="H33" s="112"/>
      <x:c r="I33" s="92" t="str">
        <x:f t="shared" si="1"/>
      </x:c>
      <x:c r="J33" s="68" t="str">
        <x:f>IF(B33="","",IFERROR(INDEX(Planos_Contratos!$I$4:$I$203,MATCH(B33,Planos_Contratos!$A$4:$A$203,0)),""))</x:f>
      </x:c>
      <x:c r="K33" s="70"/>
      <x:c r="L33" s="96" t="str">
        <x:f>IF(B33="","",IFERROR(INDEX(Planos_Contratos!$M$4:$M$203,MATCH(B33,Planos_Contratos!$A$4:$A$203,0)),""))</x:f>
      </x:c>
      <x:c r="M33" s="64"/>
    </x:row>
    <x:row r="34" ht="20" customHeight="1">
      <x:c r="A34" s="68" t="str">
        <x:f t="shared" si="0"/>
      </x:c>
      <x:c r="B34" s="64"/>
      <x:c r="C34" s="68" t="str">
        <x:f>IF(B34="","",IFERROR(INDEX(Planos_Contratos!$B$4:$B$203,MATCH(B34,Planos_Contratos!$A$4:$A$203,0)),""))</x:f>
      </x:c>
      <x:c r="D34" s="68" t="str">
        <x:f>IF(B34="","",IFERROR(INDEX(Planos_Contratos!$C$4:$C$203,MATCH(B34,Planos_Contratos!$A$4:$A$203,0)),""))</x:f>
      </x:c>
      <x:c r="E34" s="72"/>
      <x:c r="F34" s="72"/>
      <x:c r="G34" s="92" t="str">
        <x:f>IF(B34="","",IFERROR(INDEX(Planos_Contratos!$L$4:$L$203,MATCH(B34,Planos_Contratos!$A$4:$A$203,0))/MAX(1,INDEX(Planos_Contratos!$M$4:$M$203,MATCH(B34,Planos_Contratos!$A$4:$A$203,0))),""))</x:f>
      </x:c>
      <x:c r="H34" s="112"/>
      <x:c r="I34" s="92" t="str">
        <x:f t="shared" si="1"/>
      </x:c>
      <x:c r="J34" s="68" t="str">
        <x:f>IF(B34="","",IFERROR(INDEX(Planos_Contratos!$I$4:$I$203,MATCH(B34,Planos_Contratos!$A$4:$A$203,0)),""))</x:f>
      </x:c>
      <x:c r="K34" s="70"/>
      <x:c r="L34" s="96" t="str">
        <x:f>IF(B34="","",IFERROR(INDEX(Planos_Contratos!$M$4:$M$203,MATCH(B34,Planos_Contratos!$A$4:$A$203,0)),""))</x:f>
      </x:c>
      <x:c r="M34" s="64"/>
    </x:row>
    <x:row r="35" ht="20" customHeight="1">
      <x:c r="A35" s="68" t="str">
        <x:f t="shared" si="0"/>
      </x:c>
      <x:c r="B35" s="64"/>
      <x:c r="C35" s="68" t="str">
        <x:f>IF(B35="","",IFERROR(INDEX(Planos_Contratos!$B$4:$B$203,MATCH(B35,Planos_Contratos!$A$4:$A$203,0)),""))</x:f>
      </x:c>
      <x:c r="D35" s="68" t="str">
        <x:f>IF(B35="","",IFERROR(INDEX(Planos_Contratos!$C$4:$C$203,MATCH(B35,Planos_Contratos!$A$4:$A$203,0)),""))</x:f>
      </x:c>
      <x:c r="E35" s="72"/>
      <x:c r="F35" s="72"/>
      <x:c r="G35" s="92" t="str">
        <x:f>IF(B35="","",IFERROR(INDEX(Planos_Contratos!$L$4:$L$203,MATCH(B35,Planos_Contratos!$A$4:$A$203,0))/MAX(1,INDEX(Planos_Contratos!$M$4:$M$203,MATCH(B35,Planos_Contratos!$A$4:$A$203,0))),""))</x:f>
      </x:c>
      <x:c r="H35" s="112"/>
      <x:c r="I35" s="92" t="str">
        <x:f t="shared" si="1"/>
      </x:c>
      <x:c r="J35" s="68" t="str">
        <x:f>IF(B35="","",IFERROR(INDEX(Planos_Contratos!$I$4:$I$203,MATCH(B35,Planos_Contratos!$A$4:$A$203,0)),""))</x:f>
      </x:c>
      <x:c r="K35" s="70"/>
      <x:c r="L35" s="96" t="str">
        <x:f>IF(B35="","",IFERROR(INDEX(Planos_Contratos!$M$4:$M$203,MATCH(B35,Planos_Contratos!$A$4:$A$203,0)),""))</x:f>
      </x:c>
      <x:c r="M35" s="64"/>
    </x:row>
    <x:row r="36" ht="20" customHeight="1">
      <x:c r="A36" s="68" t="str">
        <x:f t="shared" si="0"/>
      </x:c>
      <x:c r="B36" s="64"/>
      <x:c r="C36" s="68" t="str">
        <x:f>IF(B36="","",IFERROR(INDEX(Planos_Contratos!$B$4:$B$203,MATCH(B36,Planos_Contratos!$A$4:$A$203,0)),""))</x:f>
      </x:c>
      <x:c r="D36" s="68" t="str">
        <x:f>IF(B36="","",IFERROR(INDEX(Planos_Contratos!$C$4:$C$203,MATCH(B36,Planos_Contratos!$A$4:$A$203,0)),""))</x:f>
      </x:c>
      <x:c r="E36" s="72"/>
      <x:c r="F36" s="72"/>
      <x:c r="G36" s="92" t="str">
        <x:f>IF(B36="","",IFERROR(INDEX(Planos_Contratos!$L$4:$L$203,MATCH(B36,Planos_Contratos!$A$4:$A$203,0))/MAX(1,INDEX(Planos_Contratos!$M$4:$M$203,MATCH(B36,Planos_Contratos!$A$4:$A$203,0))),""))</x:f>
      </x:c>
      <x:c r="H36" s="112"/>
      <x:c r="I36" s="92" t="str">
        <x:f t="shared" si="1"/>
      </x:c>
      <x:c r="J36" s="68" t="str">
        <x:f>IF(B36="","",IFERROR(INDEX(Planos_Contratos!$I$4:$I$203,MATCH(B36,Planos_Contratos!$A$4:$A$203,0)),""))</x:f>
      </x:c>
      <x:c r="K36" s="70"/>
      <x:c r="L36" s="96" t="str">
        <x:f>IF(B36="","",IFERROR(INDEX(Planos_Contratos!$M$4:$M$203,MATCH(B36,Planos_Contratos!$A$4:$A$203,0)),""))</x:f>
      </x:c>
      <x:c r="M36" s="64"/>
    </x:row>
    <x:row r="37" ht="20" customHeight="1">
      <x:c r="A37" s="68" t="str">
        <x:f t="shared" si="0"/>
      </x:c>
      <x:c r="B37" s="64"/>
      <x:c r="C37" s="68" t="str">
        <x:f>IF(B37="","",IFERROR(INDEX(Planos_Contratos!$B$4:$B$203,MATCH(B37,Planos_Contratos!$A$4:$A$203,0)),""))</x:f>
      </x:c>
      <x:c r="D37" s="68" t="str">
        <x:f>IF(B37="","",IFERROR(INDEX(Planos_Contratos!$C$4:$C$203,MATCH(B37,Planos_Contratos!$A$4:$A$203,0)),""))</x:f>
      </x:c>
      <x:c r="E37" s="72"/>
      <x:c r="F37" s="72"/>
      <x:c r="G37" s="92" t="str">
        <x:f>IF(B37="","",IFERROR(INDEX(Planos_Contratos!$L$4:$L$203,MATCH(B37,Planos_Contratos!$A$4:$A$203,0))/MAX(1,INDEX(Planos_Contratos!$M$4:$M$203,MATCH(B37,Planos_Contratos!$A$4:$A$203,0))),""))</x:f>
      </x:c>
      <x:c r="H37" s="112"/>
      <x:c r="I37" s="92" t="str">
        <x:f t="shared" si="1"/>
      </x:c>
      <x:c r="J37" s="68" t="str">
        <x:f>IF(B37="","",IFERROR(INDEX(Planos_Contratos!$I$4:$I$203,MATCH(B37,Planos_Contratos!$A$4:$A$203,0)),""))</x:f>
      </x:c>
      <x:c r="K37" s="70"/>
      <x:c r="L37" s="96" t="str">
        <x:f>IF(B37="","",IFERROR(INDEX(Planos_Contratos!$M$4:$M$203,MATCH(B37,Planos_Contratos!$A$4:$A$203,0)),""))</x:f>
      </x:c>
      <x:c r="M37" s="64"/>
    </x:row>
    <x:row r="38" ht="20" customHeight="1">
      <x:c r="A38" s="68" t="str">
        <x:f t="shared" si="0"/>
      </x:c>
      <x:c r="B38" s="64"/>
      <x:c r="C38" s="68" t="str">
        <x:f>IF(B38="","",IFERROR(INDEX(Planos_Contratos!$B$4:$B$203,MATCH(B38,Planos_Contratos!$A$4:$A$203,0)),""))</x:f>
      </x:c>
      <x:c r="D38" s="68" t="str">
        <x:f>IF(B38="","",IFERROR(INDEX(Planos_Contratos!$C$4:$C$203,MATCH(B38,Planos_Contratos!$A$4:$A$203,0)),""))</x:f>
      </x:c>
      <x:c r="E38" s="72"/>
      <x:c r="F38" s="72"/>
      <x:c r="G38" s="92" t="str">
        <x:f>IF(B38="","",IFERROR(INDEX(Planos_Contratos!$L$4:$L$203,MATCH(B38,Planos_Contratos!$A$4:$A$203,0))/MAX(1,INDEX(Planos_Contratos!$M$4:$M$203,MATCH(B38,Planos_Contratos!$A$4:$A$203,0))),""))</x:f>
      </x:c>
      <x:c r="H38" s="112"/>
      <x:c r="I38" s="92" t="str">
        <x:f t="shared" si="1"/>
      </x:c>
      <x:c r="J38" s="68" t="str">
        <x:f>IF(B38="","",IFERROR(INDEX(Planos_Contratos!$I$4:$I$203,MATCH(B38,Planos_Contratos!$A$4:$A$203,0)),""))</x:f>
      </x:c>
      <x:c r="K38" s="70"/>
      <x:c r="L38" s="96" t="str">
        <x:f>IF(B38="","",IFERROR(INDEX(Planos_Contratos!$M$4:$M$203,MATCH(B38,Planos_Contratos!$A$4:$A$203,0)),""))</x:f>
      </x:c>
      <x:c r="M38" s="64"/>
    </x:row>
    <x:row r="39" ht="20" customHeight="1">
      <x:c r="A39" s="68" t="str">
        <x:f t="shared" si="0"/>
      </x:c>
      <x:c r="B39" s="64"/>
      <x:c r="C39" s="68" t="str">
        <x:f>IF(B39="","",IFERROR(INDEX(Planos_Contratos!$B$4:$B$203,MATCH(B39,Planos_Contratos!$A$4:$A$203,0)),""))</x:f>
      </x:c>
      <x:c r="D39" s="68" t="str">
        <x:f>IF(B39="","",IFERROR(INDEX(Planos_Contratos!$C$4:$C$203,MATCH(B39,Planos_Contratos!$A$4:$A$203,0)),""))</x:f>
      </x:c>
      <x:c r="E39" s="72"/>
      <x:c r="F39" s="72"/>
      <x:c r="G39" s="92" t="str">
        <x:f>IF(B39="","",IFERROR(INDEX(Planos_Contratos!$L$4:$L$203,MATCH(B39,Planos_Contratos!$A$4:$A$203,0))/MAX(1,INDEX(Planos_Contratos!$M$4:$M$203,MATCH(B39,Planos_Contratos!$A$4:$A$203,0))),""))</x:f>
      </x:c>
      <x:c r="H39" s="112"/>
      <x:c r="I39" s="92" t="str">
        <x:f t="shared" si="1"/>
      </x:c>
      <x:c r="J39" s="68" t="str">
        <x:f>IF(B39="","",IFERROR(INDEX(Planos_Contratos!$I$4:$I$203,MATCH(B39,Planos_Contratos!$A$4:$A$203,0)),""))</x:f>
      </x:c>
      <x:c r="K39" s="70"/>
      <x:c r="L39" s="96" t="str">
        <x:f>IF(B39="","",IFERROR(INDEX(Planos_Contratos!$M$4:$M$203,MATCH(B39,Planos_Contratos!$A$4:$A$203,0)),""))</x:f>
      </x:c>
      <x:c r="M39" s="64"/>
    </x:row>
    <x:row r="40" ht="20" customHeight="1">
      <x:c r="A40" s="68" t="str">
        <x:f t="shared" si="0"/>
      </x:c>
      <x:c r="B40" s="64"/>
      <x:c r="C40" s="68" t="str">
        <x:f>IF(B40="","",IFERROR(INDEX(Planos_Contratos!$B$4:$B$203,MATCH(B40,Planos_Contratos!$A$4:$A$203,0)),""))</x:f>
      </x:c>
      <x:c r="D40" s="68" t="str">
        <x:f>IF(B40="","",IFERROR(INDEX(Planos_Contratos!$C$4:$C$203,MATCH(B40,Planos_Contratos!$A$4:$A$203,0)),""))</x:f>
      </x:c>
      <x:c r="E40" s="72"/>
      <x:c r="F40" s="72"/>
      <x:c r="G40" s="92" t="str">
        <x:f>IF(B40="","",IFERROR(INDEX(Planos_Contratos!$L$4:$L$203,MATCH(B40,Planos_Contratos!$A$4:$A$203,0))/MAX(1,INDEX(Planos_Contratos!$M$4:$M$203,MATCH(B40,Planos_Contratos!$A$4:$A$203,0))),""))</x:f>
      </x:c>
      <x:c r="H40" s="112"/>
      <x:c r="I40" s="92" t="str">
        <x:f t="shared" si="1"/>
      </x:c>
      <x:c r="J40" s="68" t="str">
        <x:f>IF(B40="","",IFERROR(INDEX(Planos_Contratos!$I$4:$I$203,MATCH(B40,Planos_Contratos!$A$4:$A$203,0)),""))</x:f>
      </x:c>
      <x:c r="K40" s="70"/>
      <x:c r="L40" s="96" t="str">
        <x:f>IF(B40="","",IFERROR(INDEX(Planos_Contratos!$M$4:$M$203,MATCH(B40,Planos_Contratos!$A$4:$A$203,0)),""))</x:f>
      </x:c>
      <x:c r="M40" s="64"/>
    </x:row>
    <x:row r="41" ht="20" customHeight="1">
      <x:c r="A41" s="68" t="str">
        <x:f t="shared" si="0"/>
      </x:c>
      <x:c r="B41" s="64"/>
      <x:c r="C41" s="68" t="str">
        <x:f>IF(B41="","",IFERROR(INDEX(Planos_Contratos!$B$4:$B$203,MATCH(B41,Planos_Contratos!$A$4:$A$203,0)),""))</x:f>
      </x:c>
      <x:c r="D41" s="68" t="str">
        <x:f>IF(B41="","",IFERROR(INDEX(Planos_Contratos!$C$4:$C$203,MATCH(B41,Planos_Contratos!$A$4:$A$203,0)),""))</x:f>
      </x:c>
      <x:c r="E41" s="72"/>
      <x:c r="F41" s="72"/>
      <x:c r="G41" s="92" t="str">
        <x:f>IF(B41="","",IFERROR(INDEX(Planos_Contratos!$L$4:$L$203,MATCH(B41,Planos_Contratos!$A$4:$A$203,0))/MAX(1,INDEX(Planos_Contratos!$M$4:$M$203,MATCH(B41,Planos_Contratos!$A$4:$A$203,0))),""))</x:f>
      </x:c>
      <x:c r="H41" s="112"/>
      <x:c r="I41" s="92" t="str">
        <x:f t="shared" si="1"/>
      </x:c>
      <x:c r="J41" s="68" t="str">
        <x:f>IF(B41="","",IFERROR(INDEX(Planos_Contratos!$I$4:$I$203,MATCH(B41,Planos_Contratos!$A$4:$A$203,0)),""))</x:f>
      </x:c>
      <x:c r="K41" s="70"/>
      <x:c r="L41" s="96" t="str">
        <x:f>IF(B41="","",IFERROR(INDEX(Planos_Contratos!$M$4:$M$203,MATCH(B41,Planos_Contratos!$A$4:$A$203,0)),""))</x:f>
      </x:c>
      <x:c r="M41" s="64"/>
    </x:row>
    <x:row r="42" ht="20" customHeight="1">
      <x:c r="A42" s="68" t="str">
        <x:f t="shared" si="0"/>
      </x:c>
      <x:c r="B42" s="64"/>
      <x:c r="C42" s="68" t="str">
        <x:f>IF(B42="","",IFERROR(INDEX(Planos_Contratos!$B$4:$B$203,MATCH(B42,Planos_Contratos!$A$4:$A$203,0)),""))</x:f>
      </x:c>
      <x:c r="D42" s="68" t="str">
        <x:f>IF(B42="","",IFERROR(INDEX(Planos_Contratos!$C$4:$C$203,MATCH(B42,Planos_Contratos!$A$4:$A$203,0)),""))</x:f>
      </x:c>
      <x:c r="E42" s="72"/>
      <x:c r="F42" s="72"/>
      <x:c r="G42" s="92" t="str">
        <x:f>IF(B42="","",IFERROR(INDEX(Planos_Contratos!$L$4:$L$203,MATCH(B42,Planos_Contratos!$A$4:$A$203,0))/MAX(1,INDEX(Planos_Contratos!$M$4:$M$203,MATCH(B42,Planos_Contratos!$A$4:$A$203,0))),""))</x:f>
      </x:c>
      <x:c r="H42" s="112"/>
      <x:c r="I42" s="92" t="str">
        <x:f t="shared" si="1"/>
      </x:c>
      <x:c r="J42" s="68" t="str">
        <x:f>IF(B42="","",IFERROR(INDEX(Planos_Contratos!$I$4:$I$203,MATCH(B42,Planos_Contratos!$A$4:$A$203,0)),""))</x:f>
      </x:c>
      <x:c r="K42" s="70"/>
      <x:c r="L42" s="96" t="str">
        <x:f>IF(B42="","",IFERROR(INDEX(Planos_Contratos!$M$4:$M$203,MATCH(B42,Planos_Contratos!$A$4:$A$203,0)),""))</x:f>
      </x:c>
      <x:c r="M42" s="64"/>
    </x:row>
    <x:row r="43" ht="20" customHeight="1">
      <x:c r="A43" s="68" t="str">
        <x:f t="shared" si="0"/>
      </x:c>
      <x:c r="B43" s="64"/>
      <x:c r="C43" s="68" t="str">
        <x:f>IF(B43="","",IFERROR(INDEX(Planos_Contratos!$B$4:$B$203,MATCH(B43,Planos_Contratos!$A$4:$A$203,0)),""))</x:f>
      </x:c>
      <x:c r="D43" s="68" t="str">
        <x:f>IF(B43="","",IFERROR(INDEX(Planos_Contratos!$C$4:$C$203,MATCH(B43,Planos_Contratos!$A$4:$A$203,0)),""))</x:f>
      </x:c>
      <x:c r="E43" s="72"/>
      <x:c r="F43" s="72"/>
      <x:c r="G43" s="92" t="str">
        <x:f>IF(B43="","",IFERROR(INDEX(Planos_Contratos!$L$4:$L$203,MATCH(B43,Planos_Contratos!$A$4:$A$203,0))/MAX(1,INDEX(Planos_Contratos!$M$4:$M$203,MATCH(B43,Planos_Contratos!$A$4:$A$203,0))),""))</x:f>
      </x:c>
      <x:c r="H43" s="112"/>
      <x:c r="I43" s="92" t="str">
        <x:f t="shared" si="1"/>
      </x:c>
      <x:c r="J43" s="68" t="str">
        <x:f>IF(B43="","",IFERROR(INDEX(Planos_Contratos!$I$4:$I$203,MATCH(B43,Planos_Contratos!$A$4:$A$203,0)),""))</x:f>
      </x:c>
      <x:c r="K43" s="70"/>
      <x:c r="L43" s="96" t="str">
        <x:f>IF(B43="","",IFERROR(INDEX(Planos_Contratos!$M$4:$M$203,MATCH(B43,Planos_Contratos!$A$4:$A$203,0)),""))</x:f>
      </x:c>
      <x:c r="M43" s="64"/>
    </x:row>
    <x:row r="44" ht="20" customHeight="1">
      <x:c r="A44" s="68" t="str">
        <x:f t="shared" si="0"/>
      </x:c>
      <x:c r="B44" s="64"/>
      <x:c r="C44" s="68" t="str">
        <x:f>IF(B44="","",IFERROR(INDEX(Planos_Contratos!$B$4:$B$203,MATCH(B44,Planos_Contratos!$A$4:$A$203,0)),""))</x:f>
      </x:c>
      <x:c r="D44" s="68" t="str">
        <x:f>IF(B44="","",IFERROR(INDEX(Planos_Contratos!$C$4:$C$203,MATCH(B44,Planos_Contratos!$A$4:$A$203,0)),""))</x:f>
      </x:c>
      <x:c r="E44" s="72"/>
      <x:c r="F44" s="72"/>
      <x:c r="G44" s="92" t="str">
        <x:f>IF(B44="","",IFERROR(INDEX(Planos_Contratos!$L$4:$L$203,MATCH(B44,Planos_Contratos!$A$4:$A$203,0))/MAX(1,INDEX(Planos_Contratos!$M$4:$M$203,MATCH(B44,Planos_Contratos!$A$4:$A$203,0))),""))</x:f>
      </x:c>
      <x:c r="H44" s="112"/>
      <x:c r="I44" s="92" t="str">
        <x:f t="shared" si="1"/>
      </x:c>
      <x:c r="J44" s="68" t="str">
        <x:f>IF(B44="","",IFERROR(INDEX(Planos_Contratos!$I$4:$I$203,MATCH(B44,Planos_Contratos!$A$4:$A$203,0)),""))</x:f>
      </x:c>
      <x:c r="K44" s="70"/>
      <x:c r="L44" s="96" t="str">
        <x:f>IF(B44="","",IFERROR(INDEX(Planos_Contratos!$M$4:$M$203,MATCH(B44,Planos_Contratos!$A$4:$A$203,0)),""))</x:f>
      </x:c>
      <x:c r="M44" s="64"/>
    </x:row>
    <x:row r="45" ht="20" customHeight="1">
      <x:c r="A45" s="68" t="str">
        <x:f t="shared" si="0"/>
      </x:c>
      <x:c r="B45" s="64"/>
      <x:c r="C45" s="68" t="str">
        <x:f>IF(B45="","",IFERROR(INDEX(Planos_Contratos!$B$4:$B$203,MATCH(B45,Planos_Contratos!$A$4:$A$203,0)),""))</x:f>
      </x:c>
      <x:c r="D45" s="68" t="str">
        <x:f>IF(B45="","",IFERROR(INDEX(Planos_Contratos!$C$4:$C$203,MATCH(B45,Planos_Contratos!$A$4:$A$203,0)),""))</x:f>
      </x:c>
      <x:c r="E45" s="72"/>
      <x:c r="F45" s="72"/>
      <x:c r="G45" s="92" t="str">
        <x:f>IF(B45="","",IFERROR(INDEX(Planos_Contratos!$L$4:$L$203,MATCH(B45,Planos_Contratos!$A$4:$A$203,0))/MAX(1,INDEX(Planos_Contratos!$M$4:$M$203,MATCH(B45,Planos_Contratos!$A$4:$A$203,0))),""))</x:f>
      </x:c>
      <x:c r="H45" s="112"/>
      <x:c r="I45" s="92" t="str">
        <x:f t="shared" si="1"/>
      </x:c>
      <x:c r="J45" s="68" t="str">
        <x:f>IF(B45="","",IFERROR(INDEX(Planos_Contratos!$I$4:$I$203,MATCH(B45,Planos_Contratos!$A$4:$A$203,0)),""))</x:f>
      </x:c>
      <x:c r="K45" s="70"/>
      <x:c r="L45" s="96" t="str">
        <x:f>IF(B45="","",IFERROR(INDEX(Planos_Contratos!$M$4:$M$203,MATCH(B45,Planos_Contratos!$A$4:$A$203,0)),""))</x:f>
      </x:c>
      <x:c r="M45" s="64"/>
    </x:row>
    <x:row r="46" ht="20" customHeight="1">
      <x:c r="A46" s="68" t="str">
        <x:f t="shared" si="0"/>
      </x:c>
      <x:c r="B46" s="64"/>
      <x:c r="C46" s="68" t="str">
        <x:f>IF(B46="","",IFERROR(INDEX(Planos_Contratos!$B$4:$B$203,MATCH(B46,Planos_Contratos!$A$4:$A$203,0)),""))</x:f>
      </x:c>
      <x:c r="D46" s="68" t="str">
        <x:f>IF(B46="","",IFERROR(INDEX(Planos_Contratos!$C$4:$C$203,MATCH(B46,Planos_Contratos!$A$4:$A$203,0)),""))</x:f>
      </x:c>
      <x:c r="E46" s="72"/>
      <x:c r="F46" s="72"/>
      <x:c r="G46" s="92" t="str">
        <x:f>IF(B46="","",IFERROR(INDEX(Planos_Contratos!$L$4:$L$203,MATCH(B46,Planos_Contratos!$A$4:$A$203,0))/MAX(1,INDEX(Planos_Contratos!$M$4:$M$203,MATCH(B46,Planos_Contratos!$A$4:$A$203,0))),""))</x:f>
      </x:c>
      <x:c r="H46" s="112"/>
      <x:c r="I46" s="92" t="str">
        <x:f t="shared" si="1"/>
      </x:c>
      <x:c r="J46" s="68" t="str">
        <x:f>IF(B46="","",IFERROR(INDEX(Planos_Contratos!$I$4:$I$203,MATCH(B46,Planos_Contratos!$A$4:$A$203,0)),""))</x:f>
      </x:c>
      <x:c r="K46" s="70"/>
      <x:c r="L46" s="96" t="str">
        <x:f>IF(B46="","",IFERROR(INDEX(Planos_Contratos!$M$4:$M$203,MATCH(B46,Planos_Contratos!$A$4:$A$203,0)),""))</x:f>
      </x:c>
      <x:c r="M46" s="64"/>
    </x:row>
    <x:row r="47" ht="20" customHeight="1">
      <x:c r="A47" s="68" t="str">
        <x:f t="shared" si="0"/>
      </x:c>
      <x:c r="B47" s="64"/>
      <x:c r="C47" s="68" t="str">
        <x:f>IF(B47="","",IFERROR(INDEX(Planos_Contratos!$B$4:$B$203,MATCH(B47,Planos_Contratos!$A$4:$A$203,0)),""))</x:f>
      </x:c>
      <x:c r="D47" s="68" t="str">
        <x:f>IF(B47="","",IFERROR(INDEX(Planos_Contratos!$C$4:$C$203,MATCH(B47,Planos_Contratos!$A$4:$A$203,0)),""))</x:f>
      </x:c>
      <x:c r="E47" s="72"/>
      <x:c r="F47" s="72"/>
      <x:c r="G47" s="92" t="str">
        <x:f>IF(B47="","",IFERROR(INDEX(Planos_Contratos!$L$4:$L$203,MATCH(B47,Planos_Contratos!$A$4:$A$203,0))/MAX(1,INDEX(Planos_Contratos!$M$4:$M$203,MATCH(B47,Planos_Contratos!$A$4:$A$203,0))),""))</x:f>
      </x:c>
      <x:c r="H47" s="112"/>
      <x:c r="I47" s="92" t="str">
        <x:f t="shared" si="1"/>
      </x:c>
      <x:c r="J47" s="68" t="str">
        <x:f>IF(B47="","",IFERROR(INDEX(Planos_Contratos!$I$4:$I$203,MATCH(B47,Planos_Contratos!$A$4:$A$203,0)),""))</x:f>
      </x:c>
      <x:c r="K47" s="70"/>
      <x:c r="L47" s="96" t="str">
        <x:f>IF(B47="","",IFERROR(INDEX(Planos_Contratos!$M$4:$M$203,MATCH(B47,Planos_Contratos!$A$4:$A$203,0)),""))</x:f>
      </x:c>
      <x:c r="M47" s="64"/>
    </x:row>
    <x:row r="48" ht="20" customHeight="1">
      <x:c r="A48" s="68" t="str">
        <x:f t="shared" si="0"/>
      </x:c>
      <x:c r="B48" s="64"/>
      <x:c r="C48" s="68" t="str">
        <x:f>IF(B48="","",IFERROR(INDEX(Planos_Contratos!$B$4:$B$203,MATCH(B48,Planos_Contratos!$A$4:$A$203,0)),""))</x:f>
      </x:c>
      <x:c r="D48" s="68" t="str">
        <x:f>IF(B48="","",IFERROR(INDEX(Planos_Contratos!$C$4:$C$203,MATCH(B48,Planos_Contratos!$A$4:$A$203,0)),""))</x:f>
      </x:c>
      <x:c r="E48" s="72"/>
      <x:c r="F48" s="72"/>
      <x:c r="G48" s="92" t="str">
        <x:f>IF(B48="","",IFERROR(INDEX(Planos_Contratos!$L$4:$L$203,MATCH(B48,Planos_Contratos!$A$4:$A$203,0))/MAX(1,INDEX(Planos_Contratos!$M$4:$M$203,MATCH(B48,Planos_Contratos!$A$4:$A$203,0))),""))</x:f>
      </x:c>
      <x:c r="H48" s="112"/>
      <x:c r="I48" s="92" t="str">
        <x:f t="shared" si="1"/>
      </x:c>
      <x:c r="J48" s="68" t="str">
        <x:f>IF(B48="","",IFERROR(INDEX(Planos_Contratos!$I$4:$I$203,MATCH(B48,Planos_Contratos!$A$4:$A$203,0)),""))</x:f>
      </x:c>
      <x:c r="K48" s="70"/>
      <x:c r="L48" s="96" t="str">
        <x:f>IF(B48="","",IFERROR(INDEX(Planos_Contratos!$M$4:$M$203,MATCH(B48,Planos_Contratos!$A$4:$A$203,0)),""))</x:f>
      </x:c>
      <x:c r="M48" s="64"/>
    </x:row>
    <x:row r="49" ht="20" customHeight="1">
      <x:c r="A49" s="68" t="str">
        <x:f t="shared" si="0"/>
      </x:c>
      <x:c r="B49" s="64"/>
      <x:c r="C49" s="68" t="str">
        <x:f>IF(B49="","",IFERROR(INDEX(Planos_Contratos!$B$4:$B$203,MATCH(B49,Planos_Contratos!$A$4:$A$203,0)),""))</x:f>
      </x:c>
      <x:c r="D49" s="68" t="str">
        <x:f>IF(B49="","",IFERROR(INDEX(Planos_Contratos!$C$4:$C$203,MATCH(B49,Planos_Contratos!$A$4:$A$203,0)),""))</x:f>
      </x:c>
      <x:c r="E49" s="72"/>
      <x:c r="F49" s="72"/>
      <x:c r="G49" s="92" t="str">
        <x:f>IF(B49="","",IFERROR(INDEX(Planos_Contratos!$L$4:$L$203,MATCH(B49,Planos_Contratos!$A$4:$A$203,0))/MAX(1,INDEX(Planos_Contratos!$M$4:$M$203,MATCH(B49,Planos_Contratos!$A$4:$A$203,0))),""))</x:f>
      </x:c>
      <x:c r="H49" s="112"/>
      <x:c r="I49" s="92" t="str">
        <x:f t="shared" si="1"/>
      </x:c>
      <x:c r="J49" s="68" t="str">
        <x:f>IF(B49="","",IFERROR(INDEX(Planos_Contratos!$I$4:$I$203,MATCH(B49,Planos_Contratos!$A$4:$A$203,0)),""))</x:f>
      </x:c>
      <x:c r="K49" s="70"/>
      <x:c r="L49" s="96" t="str">
        <x:f>IF(B49="","",IFERROR(INDEX(Planos_Contratos!$M$4:$M$203,MATCH(B49,Planos_Contratos!$A$4:$A$203,0)),""))</x:f>
      </x:c>
      <x:c r="M49" s="64"/>
    </x:row>
    <x:row r="50" ht="20" customHeight="1">
      <x:c r="A50" s="68" t="str">
        <x:f t="shared" si="0"/>
      </x:c>
      <x:c r="B50" s="64"/>
      <x:c r="C50" s="68" t="str">
        <x:f>IF(B50="","",IFERROR(INDEX(Planos_Contratos!$B$4:$B$203,MATCH(B50,Planos_Contratos!$A$4:$A$203,0)),""))</x:f>
      </x:c>
      <x:c r="D50" s="68" t="str">
        <x:f>IF(B50="","",IFERROR(INDEX(Planos_Contratos!$C$4:$C$203,MATCH(B50,Planos_Contratos!$A$4:$A$203,0)),""))</x:f>
      </x:c>
      <x:c r="E50" s="72"/>
      <x:c r="F50" s="72"/>
      <x:c r="G50" s="92" t="str">
        <x:f>IF(B50="","",IFERROR(INDEX(Planos_Contratos!$L$4:$L$203,MATCH(B50,Planos_Contratos!$A$4:$A$203,0))/MAX(1,INDEX(Planos_Contratos!$M$4:$M$203,MATCH(B50,Planos_Contratos!$A$4:$A$203,0))),""))</x:f>
      </x:c>
      <x:c r="H50" s="112"/>
      <x:c r="I50" s="92" t="str">
        <x:f t="shared" si="1"/>
      </x:c>
      <x:c r="J50" s="68" t="str">
        <x:f>IF(B50="","",IFERROR(INDEX(Planos_Contratos!$I$4:$I$203,MATCH(B50,Planos_Contratos!$A$4:$A$203,0)),""))</x:f>
      </x:c>
      <x:c r="K50" s="70"/>
      <x:c r="L50" s="96" t="str">
        <x:f>IF(B50="","",IFERROR(INDEX(Planos_Contratos!$M$4:$M$203,MATCH(B50,Planos_Contratos!$A$4:$A$203,0)),""))</x:f>
      </x:c>
      <x:c r="M50" s="64"/>
    </x:row>
    <x:row r="51" ht="20" customHeight="1">
      <x:c r="A51" s="68" t="str">
        <x:f t="shared" si="0"/>
      </x:c>
      <x:c r="B51" s="64"/>
      <x:c r="C51" s="68" t="str">
        <x:f>IF(B51="","",IFERROR(INDEX(Planos_Contratos!$B$4:$B$203,MATCH(B51,Planos_Contratos!$A$4:$A$203,0)),""))</x:f>
      </x:c>
      <x:c r="D51" s="68" t="str">
        <x:f>IF(B51="","",IFERROR(INDEX(Planos_Contratos!$C$4:$C$203,MATCH(B51,Planos_Contratos!$A$4:$A$203,0)),""))</x:f>
      </x:c>
      <x:c r="E51" s="72"/>
      <x:c r="F51" s="72"/>
      <x:c r="G51" s="92" t="str">
        <x:f>IF(B51="","",IFERROR(INDEX(Planos_Contratos!$L$4:$L$203,MATCH(B51,Planos_Contratos!$A$4:$A$203,0))/MAX(1,INDEX(Planos_Contratos!$M$4:$M$203,MATCH(B51,Planos_Contratos!$A$4:$A$203,0))),""))</x:f>
      </x:c>
      <x:c r="H51" s="112"/>
      <x:c r="I51" s="92" t="str">
        <x:f t="shared" si="1"/>
      </x:c>
      <x:c r="J51" s="68" t="str">
        <x:f>IF(B51="","",IFERROR(INDEX(Planos_Contratos!$I$4:$I$203,MATCH(B51,Planos_Contratos!$A$4:$A$203,0)),""))</x:f>
      </x:c>
      <x:c r="K51" s="70"/>
      <x:c r="L51" s="96" t="str">
        <x:f>IF(B51="","",IFERROR(INDEX(Planos_Contratos!$M$4:$M$203,MATCH(B51,Planos_Contratos!$A$4:$A$203,0)),""))</x:f>
      </x:c>
      <x:c r="M51" s="64"/>
    </x:row>
    <x:row r="52" ht="20" customHeight="1">
      <x:c r="A52" s="68" t="str">
        <x:f t="shared" si="0"/>
      </x:c>
      <x:c r="B52" s="64"/>
      <x:c r="C52" s="68" t="str">
        <x:f>IF(B52="","",IFERROR(INDEX(Planos_Contratos!$B$4:$B$203,MATCH(B52,Planos_Contratos!$A$4:$A$203,0)),""))</x:f>
      </x:c>
      <x:c r="D52" s="68" t="str">
        <x:f>IF(B52="","",IFERROR(INDEX(Planos_Contratos!$C$4:$C$203,MATCH(B52,Planos_Contratos!$A$4:$A$203,0)),""))</x:f>
      </x:c>
      <x:c r="E52" s="72"/>
      <x:c r="F52" s="72"/>
      <x:c r="G52" s="92" t="str">
        <x:f>IF(B52="","",IFERROR(INDEX(Planos_Contratos!$L$4:$L$203,MATCH(B52,Planos_Contratos!$A$4:$A$203,0))/MAX(1,INDEX(Planos_Contratos!$M$4:$M$203,MATCH(B52,Planos_Contratos!$A$4:$A$203,0))),""))</x:f>
      </x:c>
      <x:c r="H52" s="112"/>
      <x:c r="I52" s="92" t="str">
        <x:f t="shared" si="1"/>
      </x:c>
      <x:c r="J52" s="68" t="str">
        <x:f>IF(B52="","",IFERROR(INDEX(Planos_Contratos!$I$4:$I$203,MATCH(B52,Planos_Contratos!$A$4:$A$203,0)),""))</x:f>
      </x:c>
      <x:c r="K52" s="70"/>
      <x:c r="L52" s="96" t="str">
        <x:f>IF(B52="","",IFERROR(INDEX(Planos_Contratos!$M$4:$M$203,MATCH(B52,Planos_Contratos!$A$4:$A$203,0)),""))</x:f>
      </x:c>
      <x:c r="M52" s="64"/>
    </x:row>
    <x:row r="53" ht="20" customHeight="1">
      <x:c r="A53" s="68" t="str">
        <x:f t="shared" si="0"/>
      </x:c>
      <x:c r="B53" s="64"/>
      <x:c r="C53" s="68" t="str">
        <x:f>IF(B53="","",IFERROR(INDEX(Planos_Contratos!$B$4:$B$203,MATCH(B53,Planos_Contratos!$A$4:$A$203,0)),""))</x:f>
      </x:c>
      <x:c r="D53" s="68" t="str">
        <x:f>IF(B53="","",IFERROR(INDEX(Planos_Contratos!$C$4:$C$203,MATCH(B53,Planos_Contratos!$A$4:$A$203,0)),""))</x:f>
      </x:c>
      <x:c r="E53" s="72"/>
      <x:c r="F53" s="72"/>
      <x:c r="G53" s="92" t="str">
        <x:f>IF(B53="","",IFERROR(INDEX(Planos_Contratos!$L$4:$L$203,MATCH(B53,Planos_Contratos!$A$4:$A$203,0))/MAX(1,INDEX(Planos_Contratos!$M$4:$M$203,MATCH(B53,Planos_Contratos!$A$4:$A$203,0))),""))</x:f>
      </x:c>
      <x:c r="H53" s="112"/>
      <x:c r="I53" s="92" t="str">
        <x:f t="shared" si="1"/>
      </x:c>
      <x:c r="J53" s="68" t="str">
        <x:f>IF(B53="","",IFERROR(INDEX(Planos_Contratos!$I$4:$I$203,MATCH(B53,Planos_Contratos!$A$4:$A$203,0)),""))</x:f>
      </x:c>
      <x:c r="K53" s="70"/>
      <x:c r="L53" s="96" t="str">
        <x:f>IF(B53="","",IFERROR(INDEX(Planos_Contratos!$M$4:$M$203,MATCH(B53,Planos_Contratos!$A$4:$A$203,0)),""))</x:f>
      </x:c>
      <x:c r="M53" s="64"/>
    </x:row>
    <x:row r="54" ht="20" customHeight="1">
      <x:c r="A54" s="68" t="str">
        <x:f t="shared" si="0"/>
      </x:c>
      <x:c r="B54" s="64"/>
      <x:c r="C54" s="68" t="str">
        <x:f>IF(B54="","",IFERROR(INDEX(Planos_Contratos!$B$4:$B$203,MATCH(B54,Planos_Contratos!$A$4:$A$203,0)),""))</x:f>
      </x:c>
      <x:c r="D54" s="68" t="str">
        <x:f>IF(B54="","",IFERROR(INDEX(Planos_Contratos!$C$4:$C$203,MATCH(B54,Planos_Contratos!$A$4:$A$203,0)),""))</x:f>
      </x:c>
      <x:c r="E54" s="72"/>
      <x:c r="F54" s="72"/>
      <x:c r="G54" s="92" t="str">
        <x:f>IF(B54="","",IFERROR(INDEX(Planos_Contratos!$L$4:$L$203,MATCH(B54,Planos_Contratos!$A$4:$A$203,0))/MAX(1,INDEX(Planos_Contratos!$M$4:$M$203,MATCH(B54,Planos_Contratos!$A$4:$A$203,0))),""))</x:f>
      </x:c>
      <x:c r="H54" s="112"/>
      <x:c r="I54" s="92" t="str">
        <x:f t="shared" si="1"/>
      </x:c>
      <x:c r="J54" s="68" t="str">
        <x:f>IF(B54="","",IFERROR(INDEX(Planos_Contratos!$I$4:$I$203,MATCH(B54,Planos_Contratos!$A$4:$A$203,0)),""))</x:f>
      </x:c>
      <x:c r="K54" s="70"/>
      <x:c r="L54" s="96" t="str">
        <x:f>IF(B54="","",IFERROR(INDEX(Planos_Contratos!$M$4:$M$203,MATCH(B54,Planos_Contratos!$A$4:$A$203,0)),""))</x:f>
      </x:c>
      <x:c r="M54" s="64"/>
    </x:row>
    <x:row r="55" ht="20" customHeight="1">
      <x:c r="A55" s="68" t="str">
        <x:f t="shared" si="0"/>
      </x:c>
      <x:c r="B55" s="64"/>
      <x:c r="C55" s="68" t="str">
        <x:f>IF(B55="","",IFERROR(INDEX(Planos_Contratos!$B$4:$B$203,MATCH(B55,Planos_Contratos!$A$4:$A$203,0)),""))</x:f>
      </x:c>
      <x:c r="D55" s="68" t="str">
        <x:f>IF(B55="","",IFERROR(INDEX(Planos_Contratos!$C$4:$C$203,MATCH(B55,Planos_Contratos!$A$4:$A$203,0)),""))</x:f>
      </x:c>
      <x:c r="E55" s="72"/>
      <x:c r="F55" s="72"/>
      <x:c r="G55" s="92" t="str">
        <x:f>IF(B55="","",IFERROR(INDEX(Planos_Contratos!$L$4:$L$203,MATCH(B55,Planos_Contratos!$A$4:$A$203,0))/MAX(1,INDEX(Planos_Contratos!$M$4:$M$203,MATCH(B55,Planos_Contratos!$A$4:$A$203,0))),""))</x:f>
      </x:c>
      <x:c r="H55" s="112"/>
      <x:c r="I55" s="92" t="str">
        <x:f t="shared" si="1"/>
      </x:c>
      <x:c r="J55" s="68" t="str">
        <x:f>IF(B55="","",IFERROR(INDEX(Planos_Contratos!$I$4:$I$203,MATCH(B55,Planos_Contratos!$A$4:$A$203,0)),""))</x:f>
      </x:c>
      <x:c r="K55" s="70"/>
      <x:c r="L55" s="96" t="str">
        <x:f>IF(B55="","",IFERROR(INDEX(Planos_Contratos!$M$4:$M$203,MATCH(B55,Planos_Contratos!$A$4:$A$203,0)),""))</x:f>
      </x:c>
      <x:c r="M55" s="64"/>
    </x:row>
    <x:row r="56" ht="20" customHeight="1">
      <x:c r="A56" s="68" t="str">
        <x:f t="shared" si="0"/>
      </x:c>
      <x:c r="B56" s="64"/>
      <x:c r="C56" s="68" t="str">
        <x:f>IF(B56="","",IFERROR(INDEX(Planos_Contratos!$B$4:$B$203,MATCH(B56,Planos_Contratos!$A$4:$A$203,0)),""))</x:f>
      </x:c>
      <x:c r="D56" s="68" t="str">
        <x:f>IF(B56="","",IFERROR(INDEX(Planos_Contratos!$C$4:$C$203,MATCH(B56,Planos_Contratos!$A$4:$A$203,0)),""))</x:f>
      </x:c>
      <x:c r="E56" s="72"/>
      <x:c r="F56" s="72"/>
      <x:c r="G56" s="92" t="str">
        <x:f>IF(B56="","",IFERROR(INDEX(Planos_Contratos!$L$4:$L$203,MATCH(B56,Planos_Contratos!$A$4:$A$203,0))/MAX(1,INDEX(Planos_Contratos!$M$4:$M$203,MATCH(B56,Planos_Contratos!$A$4:$A$203,0))),""))</x:f>
      </x:c>
      <x:c r="H56" s="112"/>
      <x:c r="I56" s="92" t="str">
        <x:f t="shared" si="1"/>
      </x:c>
      <x:c r="J56" s="68" t="str">
        <x:f>IF(B56="","",IFERROR(INDEX(Planos_Contratos!$I$4:$I$203,MATCH(B56,Planos_Contratos!$A$4:$A$203,0)),""))</x:f>
      </x:c>
      <x:c r="K56" s="70"/>
      <x:c r="L56" s="96" t="str">
        <x:f>IF(B56="","",IFERROR(INDEX(Planos_Contratos!$M$4:$M$203,MATCH(B56,Planos_Contratos!$A$4:$A$203,0)),""))</x:f>
      </x:c>
      <x:c r="M56" s="64"/>
    </x:row>
    <x:row r="57" ht="20" customHeight="1">
      <x:c r="A57" s="68" t="str">
        <x:f t="shared" si="0"/>
      </x:c>
      <x:c r="B57" s="64"/>
      <x:c r="C57" s="68" t="str">
        <x:f>IF(B57="","",IFERROR(INDEX(Planos_Contratos!$B$4:$B$203,MATCH(B57,Planos_Contratos!$A$4:$A$203,0)),""))</x:f>
      </x:c>
      <x:c r="D57" s="68" t="str">
        <x:f>IF(B57="","",IFERROR(INDEX(Planos_Contratos!$C$4:$C$203,MATCH(B57,Planos_Contratos!$A$4:$A$203,0)),""))</x:f>
      </x:c>
      <x:c r="E57" s="72"/>
      <x:c r="F57" s="72"/>
      <x:c r="G57" s="92" t="str">
        <x:f>IF(B57="","",IFERROR(INDEX(Planos_Contratos!$L$4:$L$203,MATCH(B57,Planos_Contratos!$A$4:$A$203,0))/MAX(1,INDEX(Planos_Contratos!$M$4:$M$203,MATCH(B57,Planos_Contratos!$A$4:$A$203,0))),""))</x:f>
      </x:c>
      <x:c r="H57" s="112"/>
      <x:c r="I57" s="92" t="str">
        <x:f t="shared" si="1"/>
      </x:c>
      <x:c r="J57" s="68" t="str">
        <x:f>IF(B57="","",IFERROR(INDEX(Planos_Contratos!$I$4:$I$203,MATCH(B57,Planos_Contratos!$A$4:$A$203,0)),""))</x:f>
      </x:c>
      <x:c r="K57" s="70"/>
      <x:c r="L57" s="96" t="str">
        <x:f>IF(B57="","",IFERROR(INDEX(Planos_Contratos!$M$4:$M$203,MATCH(B57,Planos_Contratos!$A$4:$A$203,0)),""))</x:f>
      </x:c>
      <x:c r="M57" s="64"/>
    </x:row>
    <x:row r="58" ht="20" customHeight="1">
      <x:c r="A58" s="68" t="str">
        <x:f t="shared" si="0"/>
      </x:c>
      <x:c r="B58" s="64"/>
      <x:c r="C58" s="68" t="str">
        <x:f>IF(B58="","",IFERROR(INDEX(Planos_Contratos!$B$4:$B$203,MATCH(B58,Planos_Contratos!$A$4:$A$203,0)),""))</x:f>
      </x:c>
      <x:c r="D58" s="68" t="str">
        <x:f>IF(B58="","",IFERROR(INDEX(Planos_Contratos!$C$4:$C$203,MATCH(B58,Planos_Contratos!$A$4:$A$203,0)),""))</x:f>
      </x:c>
      <x:c r="E58" s="72"/>
      <x:c r="F58" s="72"/>
      <x:c r="G58" s="92" t="str">
        <x:f>IF(B58="","",IFERROR(INDEX(Planos_Contratos!$L$4:$L$203,MATCH(B58,Planos_Contratos!$A$4:$A$203,0))/MAX(1,INDEX(Planos_Contratos!$M$4:$M$203,MATCH(B58,Planos_Contratos!$A$4:$A$203,0))),""))</x:f>
      </x:c>
      <x:c r="H58" s="112"/>
      <x:c r="I58" s="92" t="str">
        <x:f t="shared" si="1"/>
      </x:c>
      <x:c r="J58" s="68" t="str">
        <x:f>IF(B58="","",IFERROR(INDEX(Planos_Contratos!$I$4:$I$203,MATCH(B58,Planos_Contratos!$A$4:$A$203,0)),""))</x:f>
      </x:c>
      <x:c r="K58" s="70"/>
      <x:c r="L58" s="96" t="str">
        <x:f>IF(B58="","",IFERROR(INDEX(Planos_Contratos!$M$4:$M$203,MATCH(B58,Planos_Contratos!$A$4:$A$203,0)),""))</x:f>
      </x:c>
      <x:c r="M58" s="64"/>
    </x:row>
    <x:row r="59" ht="20" customHeight="1">
      <x:c r="A59" s="68" t="str">
        <x:f t="shared" si="0"/>
      </x:c>
      <x:c r="B59" s="64"/>
      <x:c r="C59" s="68" t="str">
        <x:f>IF(B59="","",IFERROR(INDEX(Planos_Contratos!$B$4:$B$203,MATCH(B59,Planos_Contratos!$A$4:$A$203,0)),""))</x:f>
      </x:c>
      <x:c r="D59" s="68" t="str">
        <x:f>IF(B59="","",IFERROR(INDEX(Planos_Contratos!$C$4:$C$203,MATCH(B59,Planos_Contratos!$A$4:$A$203,0)),""))</x:f>
      </x:c>
      <x:c r="E59" s="72"/>
      <x:c r="F59" s="72"/>
      <x:c r="G59" s="92" t="str">
        <x:f>IF(B59="","",IFERROR(INDEX(Planos_Contratos!$L$4:$L$203,MATCH(B59,Planos_Contratos!$A$4:$A$203,0))/MAX(1,INDEX(Planos_Contratos!$M$4:$M$203,MATCH(B59,Planos_Contratos!$A$4:$A$203,0))),""))</x:f>
      </x:c>
      <x:c r="H59" s="112"/>
      <x:c r="I59" s="92" t="str">
        <x:f t="shared" si="1"/>
      </x:c>
      <x:c r="J59" s="68" t="str">
        <x:f>IF(B59="","",IFERROR(INDEX(Planos_Contratos!$I$4:$I$203,MATCH(B59,Planos_Contratos!$A$4:$A$203,0)),""))</x:f>
      </x:c>
      <x:c r="K59" s="70"/>
      <x:c r="L59" s="96" t="str">
        <x:f>IF(B59="","",IFERROR(INDEX(Planos_Contratos!$M$4:$M$203,MATCH(B59,Planos_Contratos!$A$4:$A$203,0)),""))</x:f>
      </x:c>
      <x:c r="M59" s="64"/>
    </x:row>
    <x:row r="60" ht="20" customHeight="1">
      <x:c r="A60" s="68" t="str">
        <x:f t="shared" si="0"/>
      </x:c>
      <x:c r="B60" s="64"/>
      <x:c r="C60" s="68" t="str">
        <x:f>IF(B60="","",IFERROR(INDEX(Planos_Contratos!$B$4:$B$203,MATCH(B60,Planos_Contratos!$A$4:$A$203,0)),""))</x:f>
      </x:c>
      <x:c r="D60" s="68" t="str">
        <x:f>IF(B60="","",IFERROR(INDEX(Planos_Contratos!$C$4:$C$203,MATCH(B60,Planos_Contratos!$A$4:$A$203,0)),""))</x:f>
      </x:c>
      <x:c r="E60" s="72"/>
      <x:c r="F60" s="72"/>
      <x:c r="G60" s="92" t="str">
        <x:f>IF(B60="","",IFERROR(INDEX(Planos_Contratos!$L$4:$L$203,MATCH(B60,Planos_Contratos!$A$4:$A$203,0))/MAX(1,INDEX(Planos_Contratos!$M$4:$M$203,MATCH(B60,Planos_Contratos!$A$4:$A$203,0))),""))</x:f>
      </x:c>
      <x:c r="H60" s="112"/>
      <x:c r="I60" s="92" t="str">
        <x:f t="shared" si="1"/>
      </x:c>
      <x:c r="J60" s="68" t="str">
        <x:f>IF(B60="","",IFERROR(INDEX(Planos_Contratos!$I$4:$I$203,MATCH(B60,Planos_Contratos!$A$4:$A$203,0)),""))</x:f>
      </x:c>
      <x:c r="K60" s="70"/>
      <x:c r="L60" s="96" t="str">
        <x:f>IF(B60="","",IFERROR(INDEX(Planos_Contratos!$M$4:$M$203,MATCH(B60,Planos_Contratos!$A$4:$A$203,0)),""))</x:f>
      </x:c>
      <x:c r="M60" s="64"/>
    </x:row>
    <x:row r="61" ht="20" customHeight="1">
      <x:c r="A61" s="68" t="str">
        <x:f t="shared" si="0"/>
      </x:c>
      <x:c r="B61" s="64"/>
      <x:c r="C61" s="68" t="str">
        <x:f>IF(B61="","",IFERROR(INDEX(Planos_Contratos!$B$4:$B$203,MATCH(B61,Planos_Contratos!$A$4:$A$203,0)),""))</x:f>
      </x:c>
      <x:c r="D61" s="68" t="str">
        <x:f>IF(B61="","",IFERROR(INDEX(Planos_Contratos!$C$4:$C$203,MATCH(B61,Planos_Contratos!$A$4:$A$203,0)),""))</x:f>
      </x:c>
      <x:c r="E61" s="72"/>
      <x:c r="F61" s="72"/>
      <x:c r="G61" s="92" t="str">
        <x:f>IF(B61="","",IFERROR(INDEX(Planos_Contratos!$L$4:$L$203,MATCH(B61,Planos_Contratos!$A$4:$A$203,0))/MAX(1,INDEX(Planos_Contratos!$M$4:$M$203,MATCH(B61,Planos_Contratos!$A$4:$A$203,0))),""))</x:f>
      </x:c>
      <x:c r="H61" s="112"/>
      <x:c r="I61" s="92" t="str">
        <x:f t="shared" si="1"/>
      </x:c>
      <x:c r="J61" s="68" t="str">
        <x:f>IF(B61="","",IFERROR(INDEX(Planos_Contratos!$I$4:$I$203,MATCH(B61,Planos_Contratos!$A$4:$A$203,0)),""))</x:f>
      </x:c>
      <x:c r="K61" s="70"/>
      <x:c r="L61" s="96" t="str">
        <x:f>IF(B61="","",IFERROR(INDEX(Planos_Contratos!$M$4:$M$203,MATCH(B61,Planos_Contratos!$A$4:$A$203,0)),""))</x:f>
      </x:c>
      <x:c r="M61" s="64"/>
    </x:row>
    <x:row r="62" ht="20" customHeight="1">
      <x:c r="A62" s="68" t="str">
        <x:f t="shared" si="0"/>
      </x:c>
      <x:c r="B62" s="64"/>
      <x:c r="C62" s="68" t="str">
        <x:f>IF(B62="","",IFERROR(INDEX(Planos_Contratos!$B$4:$B$203,MATCH(B62,Planos_Contratos!$A$4:$A$203,0)),""))</x:f>
      </x:c>
      <x:c r="D62" s="68" t="str">
        <x:f>IF(B62="","",IFERROR(INDEX(Planos_Contratos!$C$4:$C$203,MATCH(B62,Planos_Contratos!$A$4:$A$203,0)),""))</x:f>
      </x:c>
      <x:c r="E62" s="72"/>
      <x:c r="F62" s="72"/>
      <x:c r="G62" s="92" t="str">
        <x:f>IF(B62="","",IFERROR(INDEX(Planos_Contratos!$L$4:$L$203,MATCH(B62,Planos_Contratos!$A$4:$A$203,0))/MAX(1,INDEX(Planos_Contratos!$M$4:$M$203,MATCH(B62,Planos_Contratos!$A$4:$A$203,0))),""))</x:f>
      </x:c>
      <x:c r="H62" s="112"/>
      <x:c r="I62" s="92" t="str">
        <x:f t="shared" si="1"/>
      </x:c>
      <x:c r="J62" s="68" t="str">
        <x:f>IF(B62="","",IFERROR(INDEX(Planos_Contratos!$I$4:$I$203,MATCH(B62,Planos_Contratos!$A$4:$A$203,0)),""))</x:f>
      </x:c>
      <x:c r="K62" s="70"/>
      <x:c r="L62" s="96" t="str">
        <x:f>IF(B62="","",IFERROR(INDEX(Planos_Contratos!$M$4:$M$203,MATCH(B62,Planos_Contratos!$A$4:$A$203,0)),""))</x:f>
      </x:c>
      <x:c r="M62" s="64"/>
    </x:row>
    <x:row r="63" ht="20" customHeight="1">
      <x:c r="A63" s="68" t="str">
        <x:f t="shared" si="0"/>
      </x:c>
      <x:c r="B63" s="64"/>
      <x:c r="C63" s="68" t="str">
        <x:f>IF(B63="","",IFERROR(INDEX(Planos_Contratos!$B$4:$B$203,MATCH(B63,Planos_Contratos!$A$4:$A$203,0)),""))</x:f>
      </x:c>
      <x:c r="D63" s="68" t="str">
        <x:f>IF(B63="","",IFERROR(INDEX(Planos_Contratos!$C$4:$C$203,MATCH(B63,Planos_Contratos!$A$4:$A$203,0)),""))</x:f>
      </x:c>
      <x:c r="E63" s="72"/>
      <x:c r="F63" s="72"/>
      <x:c r="G63" s="92" t="str">
        <x:f>IF(B63="","",IFERROR(INDEX(Planos_Contratos!$L$4:$L$203,MATCH(B63,Planos_Contratos!$A$4:$A$203,0))/MAX(1,INDEX(Planos_Contratos!$M$4:$M$203,MATCH(B63,Planos_Contratos!$A$4:$A$203,0))),""))</x:f>
      </x:c>
      <x:c r="H63" s="112"/>
      <x:c r="I63" s="92" t="str">
        <x:f t="shared" si="1"/>
      </x:c>
      <x:c r="J63" s="68" t="str">
        <x:f>IF(B63="","",IFERROR(INDEX(Planos_Contratos!$I$4:$I$203,MATCH(B63,Planos_Contratos!$A$4:$A$203,0)),""))</x:f>
      </x:c>
      <x:c r="K63" s="70"/>
      <x:c r="L63" s="96" t="str">
        <x:f>IF(B63="","",IFERROR(INDEX(Planos_Contratos!$M$4:$M$203,MATCH(B63,Planos_Contratos!$A$4:$A$203,0)),""))</x:f>
      </x:c>
      <x:c r="M63" s="64"/>
    </x:row>
    <x:row r="64" ht="20" customHeight="1">
      <x:c r="A64" s="68" t="str">
        <x:f t="shared" si="0"/>
      </x:c>
      <x:c r="B64" s="64"/>
      <x:c r="C64" s="68" t="str">
        <x:f>IF(B64="","",IFERROR(INDEX(Planos_Contratos!$B$4:$B$203,MATCH(B64,Planos_Contratos!$A$4:$A$203,0)),""))</x:f>
      </x:c>
      <x:c r="D64" s="68" t="str">
        <x:f>IF(B64="","",IFERROR(INDEX(Planos_Contratos!$C$4:$C$203,MATCH(B64,Planos_Contratos!$A$4:$A$203,0)),""))</x:f>
      </x:c>
      <x:c r="E64" s="72"/>
      <x:c r="F64" s="72"/>
      <x:c r="G64" s="92" t="str">
        <x:f>IF(B64="","",IFERROR(INDEX(Planos_Contratos!$L$4:$L$203,MATCH(B64,Planos_Contratos!$A$4:$A$203,0))/MAX(1,INDEX(Planos_Contratos!$M$4:$M$203,MATCH(B64,Planos_Contratos!$A$4:$A$203,0))),""))</x:f>
      </x:c>
      <x:c r="H64" s="112"/>
      <x:c r="I64" s="92" t="str">
        <x:f t="shared" si="1"/>
      </x:c>
      <x:c r="J64" s="68" t="str">
        <x:f>IF(B64="","",IFERROR(INDEX(Planos_Contratos!$I$4:$I$203,MATCH(B64,Planos_Contratos!$A$4:$A$203,0)),""))</x:f>
      </x:c>
      <x:c r="K64" s="70"/>
      <x:c r="L64" s="96" t="str">
        <x:f>IF(B64="","",IFERROR(INDEX(Planos_Contratos!$M$4:$M$203,MATCH(B64,Planos_Contratos!$A$4:$A$203,0)),""))</x:f>
      </x:c>
      <x:c r="M64" s="64"/>
    </x:row>
    <x:row r="65" ht="20" customHeight="1">
      <x:c r="A65" s="68" t="str">
        <x:f t="shared" si="0"/>
      </x:c>
      <x:c r="B65" s="64"/>
      <x:c r="C65" s="68" t="str">
        <x:f>IF(B65="","",IFERROR(INDEX(Planos_Contratos!$B$4:$B$203,MATCH(B65,Planos_Contratos!$A$4:$A$203,0)),""))</x:f>
      </x:c>
      <x:c r="D65" s="68" t="str">
        <x:f>IF(B65="","",IFERROR(INDEX(Planos_Contratos!$C$4:$C$203,MATCH(B65,Planos_Contratos!$A$4:$A$203,0)),""))</x:f>
      </x:c>
      <x:c r="E65" s="72"/>
      <x:c r="F65" s="72"/>
      <x:c r="G65" s="92" t="str">
        <x:f>IF(B65="","",IFERROR(INDEX(Planos_Contratos!$L$4:$L$203,MATCH(B65,Planos_Contratos!$A$4:$A$203,0))/MAX(1,INDEX(Planos_Contratos!$M$4:$M$203,MATCH(B65,Planos_Contratos!$A$4:$A$203,0))),""))</x:f>
      </x:c>
      <x:c r="H65" s="112"/>
      <x:c r="I65" s="92" t="str">
        <x:f t="shared" si="1"/>
      </x:c>
      <x:c r="J65" s="68" t="str">
        <x:f>IF(B65="","",IFERROR(INDEX(Planos_Contratos!$I$4:$I$203,MATCH(B65,Planos_Contratos!$A$4:$A$203,0)),""))</x:f>
      </x:c>
      <x:c r="K65" s="70"/>
      <x:c r="L65" s="96" t="str">
        <x:f>IF(B65="","",IFERROR(INDEX(Planos_Contratos!$M$4:$M$203,MATCH(B65,Planos_Contratos!$A$4:$A$203,0)),""))</x:f>
      </x:c>
      <x:c r="M65" s="64"/>
    </x:row>
    <x:row r="66" ht="20" customHeight="1">
      <x:c r="A66" s="68" t="str">
        <x:f t="shared" si="0"/>
      </x:c>
      <x:c r="B66" s="64"/>
      <x:c r="C66" s="68" t="str">
        <x:f>IF(B66="","",IFERROR(INDEX(Planos_Contratos!$B$4:$B$203,MATCH(B66,Planos_Contratos!$A$4:$A$203,0)),""))</x:f>
      </x:c>
      <x:c r="D66" s="68" t="str">
        <x:f>IF(B66="","",IFERROR(INDEX(Planos_Contratos!$C$4:$C$203,MATCH(B66,Planos_Contratos!$A$4:$A$203,0)),""))</x:f>
      </x:c>
      <x:c r="E66" s="72"/>
      <x:c r="F66" s="72"/>
      <x:c r="G66" s="92" t="str">
        <x:f>IF(B66="","",IFERROR(INDEX(Planos_Contratos!$L$4:$L$203,MATCH(B66,Planos_Contratos!$A$4:$A$203,0))/MAX(1,INDEX(Planos_Contratos!$M$4:$M$203,MATCH(B66,Planos_Contratos!$A$4:$A$203,0))),""))</x:f>
      </x:c>
      <x:c r="H66" s="112"/>
      <x:c r="I66" s="92" t="str">
        <x:f t="shared" si="1"/>
      </x:c>
      <x:c r="J66" s="68" t="str">
        <x:f>IF(B66="","",IFERROR(INDEX(Planos_Contratos!$I$4:$I$203,MATCH(B66,Planos_Contratos!$A$4:$A$203,0)),""))</x:f>
      </x:c>
      <x:c r="K66" s="70"/>
      <x:c r="L66" s="96" t="str">
        <x:f>IF(B66="","",IFERROR(INDEX(Planos_Contratos!$M$4:$M$203,MATCH(B66,Planos_Contratos!$A$4:$A$203,0)),""))</x:f>
      </x:c>
      <x:c r="M66" s="64"/>
    </x:row>
    <x:row r="67" ht="20" customHeight="1">
      <x:c r="A67" s="68" t="str">
        <x:f t="shared" si="0"/>
      </x:c>
      <x:c r="B67" s="64"/>
      <x:c r="C67" s="68" t="str">
        <x:f>IF(B67="","",IFERROR(INDEX(Planos_Contratos!$B$4:$B$203,MATCH(B67,Planos_Contratos!$A$4:$A$203,0)),""))</x:f>
      </x:c>
      <x:c r="D67" s="68" t="str">
        <x:f>IF(B67="","",IFERROR(INDEX(Planos_Contratos!$C$4:$C$203,MATCH(B67,Planos_Contratos!$A$4:$A$203,0)),""))</x:f>
      </x:c>
      <x:c r="E67" s="72"/>
      <x:c r="F67" s="72"/>
      <x:c r="G67" s="92" t="str">
        <x:f>IF(B67="","",IFERROR(INDEX(Planos_Contratos!$L$4:$L$203,MATCH(B67,Planos_Contratos!$A$4:$A$203,0))/MAX(1,INDEX(Planos_Contratos!$M$4:$M$203,MATCH(B67,Planos_Contratos!$A$4:$A$203,0))),""))</x:f>
      </x:c>
      <x:c r="H67" s="112"/>
      <x:c r="I67" s="92" t="str">
        <x:f t="shared" si="1"/>
      </x:c>
      <x:c r="J67" s="68" t="str">
        <x:f>IF(B67="","",IFERROR(INDEX(Planos_Contratos!$I$4:$I$203,MATCH(B67,Planos_Contratos!$A$4:$A$203,0)),""))</x:f>
      </x:c>
      <x:c r="K67" s="70"/>
      <x:c r="L67" s="96" t="str">
        <x:f>IF(B67="","",IFERROR(INDEX(Planos_Contratos!$M$4:$M$203,MATCH(B67,Planos_Contratos!$A$4:$A$203,0)),""))</x:f>
      </x:c>
      <x:c r="M67" s="64"/>
    </x:row>
    <x:row r="68" ht="20" customHeight="1">
      <x:c r="A68" s="68" t="str">
        <x:f t="shared" ref="A68:A131" si="2">IF(B68="","",ROW()-3)</x:f>
      </x:c>
      <x:c r="B68" s="64"/>
      <x:c r="C68" s="68" t="str">
        <x:f>IF(B68="","",IFERROR(INDEX(Planos_Contratos!$B$4:$B$203,MATCH(B68,Planos_Contratos!$A$4:$A$203,0)),""))</x:f>
      </x:c>
      <x:c r="D68" s="68" t="str">
        <x:f>IF(B68="","",IFERROR(INDEX(Planos_Contratos!$C$4:$C$203,MATCH(B68,Planos_Contratos!$A$4:$A$203,0)),""))</x:f>
      </x:c>
      <x:c r="E68" s="72"/>
      <x:c r="F68" s="72"/>
      <x:c r="G68" s="92" t="str">
        <x:f>IF(B68="","",IFERROR(INDEX(Planos_Contratos!$L$4:$L$203,MATCH(B68,Planos_Contratos!$A$4:$A$203,0))/MAX(1,INDEX(Planos_Contratos!$M$4:$M$203,MATCH(B68,Planos_Contratos!$A$4:$A$203,0))),""))</x:f>
      </x:c>
      <x:c r="H68" s="112"/>
      <x:c r="I68" s="92" t="str">
        <x:f t="shared" ref="I68:I131" si="3">IF(G68="","",G68-H68)</x:f>
      </x:c>
      <x:c r="J68" s="68" t="str">
        <x:f>IF(B68="","",IFERROR(INDEX(Planos_Contratos!$I$4:$I$203,MATCH(B68,Planos_Contratos!$A$4:$A$203,0)),""))</x:f>
      </x:c>
      <x:c r="K68" s="70"/>
      <x:c r="L68" s="96" t="str">
        <x:f>IF(B68="","",IFERROR(INDEX(Planos_Contratos!$M$4:$M$203,MATCH(B68,Planos_Contratos!$A$4:$A$203,0)),""))</x:f>
      </x:c>
      <x:c r="M68" s="64"/>
    </x:row>
    <x:row r="69" ht="20" customHeight="1">
      <x:c r="A69" s="68" t="str">
        <x:f t="shared" si="2"/>
      </x:c>
      <x:c r="B69" s="64"/>
      <x:c r="C69" s="68" t="str">
        <x:f>IF(B69="","",IFERROR(INDEX(Planos_Contratos!$B$4:$B$203,MATCH(B69,Planos_Contratos!$A$4:$A$203,0)),""))</x:f>
      </x:c>
      <x:c r="D69" s="68" t="str">
        <x:f>IF(B69="","",IFERROR(INDEX(Planos_Contratos!$C$4:$C$203,MATCH(B69,Planos_Contratos!$A$4:$A$203,0)),""))</x:f>
      </x:c>
      <x:c r="E69" s="72"/>
      <x:c r="F69" s="72"/>
      <x:c r="G69" s="92" t="str">
        <x:f>IF(B69="","",IFERROR(INDEX(Planos_Contratos!$L$4:$L$203,MATCH(B69,Planos_Contratos!$A$4:$A$203,0))/MAX(1,INDEX(Planos_Contratos!$M$4:$M$203,MATCH(B69,Planos_Contratos!$A$4:$A$203,0))),""))</x:f>
      </x:c>
      <x:c r="H69" s="112"/>
      <x:c r="I69" s="92" t="str">
        <x:f t="shared" si="3"/>
      </x:c>
      <x:c r="J69" s="68" t="str">
        <x:f>IF(B69="","",IFERROR(INDEX(Planos_Contratos!$I$4:$I$203,MATCH(B69,Planos_Contratos!$A$4:$A$203,0)),""))</x:f>
      </x:c>
      <x:c r="K69" s="70"/>
      <x:c r="L69" s="96" t="str">
        <x:f>IF(B69="","",IFERROR(INDEX(Planos_Contratos!$M$4:$M$203,MATCH(B69,Planos_Contratos!$A$4:$A$203,0)),""))</x:f>
      </x:c>
      <x:c r="M69" s="64"/>
    </x:row>
    <x:row r="70" ht="20" customHeight="1">
      <x:c r="A70" s="68" t="str">
        <x:f t="shared" si="2"/>
      </x:c>
      <x:c r="B70" s="64"/>
      <x:c r="C70" s="68" t="str">
        <x:f>IF(B70="","",IFERROR(INDEX(Planos_Contratos!$B$4:$B$203,MATCH(B70,Planos_Contratos!$A$4:$A$203,0)),""))</x:f>
      </x:c>
      <x:c r="D70" s="68" t="str">
        <x:f>IF(B70="","",IFERROR(INDEX(Planos_Contratos!$C$4:$C$203,MATCH(B70,Planos_Contratos!$A$4:$A$203,0)),""))</x:f>
      </x:c>
      <x:c r="E70" s="72"/>
      <x:c r="F70" s="72"/>
      <x:c r="G70" s="92" t="str">
        <x:f>IF(B70="","",IFERROR(INDEX(Planos_Contratos!$L$4:$L$203,MATCH(B70,Planos_Contratos!$A$4:$A$203,0))/MAX(1,INDEX(Planos_Contratos!$M$4:$M$203,MATCH(B70,Planos_Contratos!$A$4:$A$203,0))),""))</x:f>
      </x:c>
      <x:c r="H70" s="112"/>
      <x:c r="I70" s="92" t="str">
        <x:f t="shared" si="3"/>
      </x:c>
      <x:c r="J70" s="68" t="str">
        <x:f>IF(B70="","",IFERROR(INDEX(Planos_Contratos!$I$4:$I$203,MATCH(B70,Planos_Contratos!$A$4:$A$203,0)),""))</x:f>
      </x:c>
      <x:c r="K70" s="70"/>
      <x:c r="L70" s="96" t="str">
        <x:f>IF(B70="","",IFERROR(INDEX(Planos_Contratos!$M$4:$M$203,MATCH(B70,Planos_Contratos!$A$4:$A$203,0)),""))</x:f>
      </x:c>
      <x:c r="M70" s="64"/>
    </x:row>
    <x:row r="71" ht="20" customHeight="1">
      <x:c r="A71" s="68" t="str">
        <x:f t="shared" si="2"/>
      </x:c>
      <x:c r="B71" s="64"/>
      <x:c r="C71" s="68" t="str">
        <x:f>IF(B71="","",IFERROR(INDEX(Planos_Contratos!$B$4:$B$203,MATCH(B71,Planos_Contratos!$A$4:$A$203,0)),""))</x:f>
      </x:c>
      <x:c r="D71" s="68" t="str">
        <x:f>IF(B71="","",IFERROR(INDEX(Planos_Contratos!$C$4:$C$203,MATCH(B71,Planos_Contratos!$A$4:$A$203,0)),""))</x:f>
      </x:c>
      <x:c r="E71" s="72"/>
      <x:c r="F71" s="72"/>
      <x:c r="G71" s="92" t="str">
        <x:f>IF(B71="","",IFERROR(INDEX(Planos_Contratos!$L$4:$L$203,MATCH(B71,Planos_Contratos!$A$4:$A$203,0))/MAX(1,INDEX(Planos_Contratos!$M$4:$M$203,MATCH(B71,Planos_Contratos!$A$4:$A$203,0))),""))</x:f>
      </x:c>
      <x:c r="H71" s="112"/>
      <x:c r="I71" s="92" t="str">
        <x:f t="shared" si="3"/>
      </x:c>
      <x:c r="J71" s="68" t="str">
        <x:f>IF(B71="","",IFERROR(INDEX(Planos_Contratos!$I$4:$I$203,MATCH(B71,Planos_Contratos!$A$4:$A$203,0)),""))</x:f>
      </x:c>
      <x:c r="K71" s="70"/>
      <x:c r="L71" s="96" t="str">
        <x:f>IF(B71="","",IFERROR(INDEX(Planos_Contratos!$M$4:$M$203,MATCH(B71,Planos_Contratos!$A$4:$A$203,0)),""))</x:f>
      </x:c>
      <x:c r="M71" s="64"/>
    </x:row>
    <x:row r="72" ht="20" customHeight="1">
      <x:c r="A72" s="68" t="str">
        <x:f t="shared" si="2"/>
      </x:c>
      <x:c r="B72" s="64"/>
      <x:c r="C72" s="68" t="str">
        <x:f>IF(B72="","",IFERROR(INDEX(Planos_Contratos!$B$4:$B$203,MATCH(B72,Planos_Contratos!$A$4:$A$203,0)),""))</x:f>
      </x:c>
      <x:c r="D72" s="68" t="str">
        <x:f>IF(B72="","",IFERROR(INDEX(Planos_Contratos!$C$4:$C$203,MATCH(B72,Planos_Contratos!$A$4:$A$203,0)),""))</x:f>
      </x:c>
      <x:c r="E72" s="72"/>
      <x:c r="F72" s="72"/>
      <x:c r="G72" s="92" t="str">
        <x:f>IF(B72="","",IFERROR(INDEX(Planos_Contratos!$L$4:$L$203,MATCH(B72,Planos_Contratos!$A$4:$A$203,0))/MAX(1,INDEX(Planos_Contratos!$M$4:$M$203,MATCH(B72,Planos_Contratos!$A$4:$A$203,0))),""))</x:f>
      </x:c>
      <x:c r="H72" s="112"/>
      <x:c r="I72" s="92" t="str">
        <x:f t="shared" si="3"/>
      </x:c>
      <x:c r="J72" s="68" t="str">
        <x:f>IF(B72="","",IFERROR(INDEX(Planos_Contratos!$I$4:$I$203,MATCH(B72,Planos_Contratos!$A$4:$A$203,0)),""))</x:f>
      </x:c>
      <x:c r="K72" s="70"/>
      <x:c r="L72" s="96" t="str">
        <x:f>IF(B72="","",IFERROR(INDEX(Planos_Contratos!$M$4:$M$203,MATCH(B72,Planos_Contratos!$A$4:$A$203,0)),""))</x:f>
      </x:c>
      <x:c r="M72" s="64"/>
    </x:row>
    <x:row r="73" ht="20" customHeight="1">
      <x:c r="A73" s="68" t="str">
        <x:f t="shared" si="2"/>
      </x:c>
      <x:c r="B73" s="64"/>
      <x:c r="C73" s="68" t="str">
        <x:f>IF(B73="","",IFERROR(INDEX(Planos_Contratos!$B$4:$B$203,MATCH(B73,Planos_Contratos!$A$4:$A$203,0)),""))</x:f>
      </x:c>
      <x:c r="D73" s="68" t="str">
        <x:f>IF(B73="","",IFERROR(INDEX(Planos_Contratos!$C$4:$C$203,MATCH(B73,Planos_Contratos!$A$4:$A$203,0)),""))</x:f>
      </x:c>
      <x:c r="E73" s="72"/>
      <x:c r="F73" s="72"/>
      <x:c r="G73" s="92" t="str">
        <x:f>IF(B73="","",IFERROR(INDEX(Planos_Contratos!$L$4:$L$203,MATCH(B73,Planos_Contratos!$A$4:$A$203,0))/MAX(1,INDEX(Planos_Contratos!$M$4:$M$203,MATCH(B73,Planos_Contratos!$A$4:$A$203,0))),""))</x:f>
      </x:c>
      <x:c r="H73" s="112"/>
      <x:c r="I73" s="92" t="str">
        <x:f t="shared" si="3"/>
      </x:c>
      <x:c r="J73" s="68" t="str">
        <x:f>IF(B73="","",IFERROR(INDEX(Planos_Contratos!$I$4:$I$203,MATCH(B73,Planos_Contratos!$A$4:$A$203,0)),""))</x:f>
      </x:c>
      <x:c r="K73" s="70"/>
      <x:c r="L73" s="96" t="str">
        <x:f>IF(B73="","",IFERROR(INDEX(Planos_Contratos!$M$4:$M$203,MATCH(B73,Planos_Contratos!$A$4:$A$203,0)),""))</x:f>
      </x:c>
      <x:c r="M73" s="64"/>
    </x:row>
    <x:row r="74" ht="20" customHeight="1">
      <x:c r="A74" s="68" t="str">
        <x:f t="shared" si="2"/>
      </x:c>
      <x:c r="B74" s="64"/>
      <x:c r="C74" s="68" t="str">
        <x:f>IF(B74="","",IFERROR(INDEX(Planos_Contratos!$B$4:$B$203,MATCH(B74,Planos_Contratos!$A$4:$A$203,0)),""))</x:f>
      </x:c>
      <x:c r="D74" s="68" t="str">
        <x:f>IF(B74="","",IFERROR(INDEX(Planos_Contratos!$C$4:$C$203,MATCH(B74,Planos_Contratos!$A$4:$A$203,0)),""))</x:f>
      </x:c>
      <x:c r="E74" s="72"/>
      <x:c r="F74" s="72"/>
      <x:c r="G74" s="92" t="str">
        <x:f>IF(B74="","",IFERROR(INDEX(Planos_Contratos!$L$4:$L$203,MATCH(B74,Planos_Contratos!$A$4:$A$203,0))/MAX(1,INDEX(Planos_Contratos!$M$4:$M$203,MATCH(B74,Planos_Contratos!$A$4:$A$203,0))),""))</x:f>
      </x:c>
      <x:c r="H74" s="112"/>
      <x:c r="I74" s="92" t="str">
        <x:f t="shared" si="3"/>
      </x:c>
      <x:c r="J74" s="68" t="str">
        <x:f>IF(B74="","",IFERROR(INDEX(Planos_Contratos!$I$4:$I$203,MATCH(B74,Planos_Contratos!$A$4:$A$203,0)),""))</x:f>
      </x:c>
      <x:c r="K74" s="70"/>
      <x:c r="L74" s="96" t="str">
        <x:f>IF(B74="","",IFERROR(INDEX(Planos_Contratos!$M$4:$M$203,MATCH(B74,Planos_Contratos!$A$4:$A$203,0)),""))</x:f>
      </x:c>
      <x:c r="M74" s="64"/>
    </x:row>
    <x:row r="75" ht="20" customHeight="1">
      <x:c r="A75" s="68" t="str">
        <x:f t="shared" si="2"/>
      </x:c>
      <x:c r="B75" s="64"/>
      <x:c r="C75" s="68" t="str">
        <x:f>IF(B75="","",IFERROR(INDEX(Planos_Contratos!$B$4:$B$203,MATCH(B75,Planos_Contratos!$A$4:$A$203,0)),""))</x:f>
      </x:c>
      <x:c r="D75" s="68" t="str">
        <x:f>IF(B75="","",IFERROR(INDEX(Planos_Contratos!$C$4:$C$203,MATCH(B75,Planos_Contratos!$A$4:$A$203,0)),""))</x:f>
      </x:c>
      <x:c r="E75" s="72"/>
      <x:c r="F75" s="72"/>
      <x:c r="G75" s="92" t="str">
        <x:f>IF(B75="","",IFERROR(INDEX(Planos_Contratos!$L$4:$L$203,MATCH(B75,Planos_Contratos!$A$4:$A$203,0))/MAX(1,INDEX(Planos_Contratos!$M$4:$M$203,MATCH(B75,Planos_Contratos!$A$4:$A$203,0))),""))</x:f>
      </x:c>
      <x:c r="H75" s="112"/>
      <x:c r="I75" s="92" t="str">
        <x:f t="shared" si="3"/>
      </x:c>
      <x:c r="J75" s="68" t="str">
        <x:f>IF(B75="","",IFERROR(INDEX(Planos_Contratos!$I$4:$I$203,MATCH(B75,Planos_Contratos!$A$4:$A$203,0)),""))</x:f>
      </x:c>
      <x:c r="K75" s="70"/>
      <x:c r="L75" s="96" t="str">
        <x:f>IF(B75="","",IFERROR(INDEX(Planos_Contratos!$M$4:$M$203,MATCH(B75,Planos_Contratos!$A$4:$A$203,0)),""))</x:f>
      </x:c>
      <x:c r="M75" s="64"/>
    </x:row>
    <x:row r="76" ht="20" customHeight="1">
      <x:c r="A76" s="68" t="str">
        <x:f t="shared" si="2"/>
      </x:c>
      <x:c r="B76" s="64"/>
      <x:c r="C76" s="68" t="str">
        <x:f>IF(B76="","",IFERROR(INDEX(Planos_Contratos!$B$4:$B$203,MATCH(B76,Planos_Contratos!$A$4:$A$203,0)),""))</x:f>
      </x:c>
      <x:c r="D76" s="68" t="str">
        <x:f>IF(B76="","",IFERROR(INDEX(Planos_Contratos!$C$4:$C$203,MATCH(B76,Planos_Contratos!$A$4:$A$203,0)),""))</x:f>
      </x:c>
      <x:c r="E76" s="72"/>
      <x:c r="F76" s="72"/>
      <x:c r="G76" s="92" t="str">
        <x:f>IF(B76="","",IFERROR(INDEX(Planos_Contratos!$L$4:$L$203,MATCH(B76,Planos_Contratos!$A$4:$A$203,0))/MAX(1,INDEX(Planos_Contratos!$M$4:$M$203,MATCH(B76,Planos_Contratos!$A$4:$A$203,0))),""))</x:f>
      </x:c>
      <x:c r="H76" s="112"/>
      <x:c r="I76" s="92" t="str">
        <x:f t="shared" si="3"/>
      </x:c>
      <x:c r="J76" s="68" t="str">
        <x:f>IF(B76="","",IFERROR(INDEX(Planos_Contratos!$I$4:$I$203,MATCH(B76,Planos_Contratos!$A$4:$A$203,0)),""))</x:f>
      </x:c>
      <x:c r="K76" s="70"/>
      <x:c r="L76" s="96" t="str">
        <x:f>IF(B76="","",IFERROR(INDEX(Planos_Contratos!$M$4:$M$203,MATCH(B76,Planos_Contratos!$A$4:$A$203,0)),""))</x:f>
      </x:c>
      <x:c r="M76" s="64"/>
    </x:row>
    <x:row r="77" ht="20" customHeight="1">
      <x:c r="A77" s="68" t="str">
        <x:f t="shared" si="2"/>
      </x:c>
      <x:c r="B77" s="64"/>
      <x:c r="C77" s="68" t="str">
        <x:f>IF(B77="","",IFERROR(INDEX(Planos_Contratos!$B$4:$B$203,MATCH(B77,Planos_Contratos!$A$4:$A$203,0)),""))</x:f>
      </x:c>
      <x:c r="D77" s="68" t="str">
        <x:f>IF(B77="","",IFERROR(INDEX(Planos_Contratos!$C$4:$C$203,MATCH(B77,Planos_Contratos!$A$4:$A$203,0)),""))</x:f>
      </x:c>
      <x:c r="E77" s="72"/>
      <x:c r="F77" s="72"/>
      <x:c r="G77" s="92" t="str">
        <x:f>IF(B77="","",IFERROR(INDEX(Planos_Contratos!$L$4:$L$203,MATCH(B77,Planos_Contratos!$A$4:$A$203,0))/MAX(1,INDEX(Planos_Contratos!$M$4:$M$203,MATCH(B77,Planos_Contratos!$A$4:$A$203,0))),""))</x:f>
      </x:c>
      <x:c r="H77" s="112"/>
      <x:c r="I77" s="92" t="str">
        <x:f t="shared" si="3"/>
      </x:c>
      <x:c r="J77" s="68" t="str">
        <x:f>IF(B77="","",IFERROR(INDEX(Planos_Contratos!$I$4:$I$203,MATCH(B77,Planos_Contratos!$A$4:$A$203,0)),""))</x:f>
      </x:c>
      <x:c r="K77" s="70"/>
      <x:c r="L77" s="96" t="str">
        <x:f>IF(B77="","",IFERROR(INDEX(Planos_Contratos!$M$4:$M$203,MATCH(B77,Planos_Contratos!$A$4:$A$203,0)),""))</x:f>
      </x:c>
      <x:c r="M77" s="64"/>
    </x:row>
    <x:row r="78" ht="20" customHeight="1">
      <x:c r="A78" s="68" t="str">
        <x:f t="shared" si="2"/>
      </x:c>
      <x:c r="B78" s="64"/>
      <x:c r="C78" s="68" t="str">
        <x:f>IF(B78="","",IFERROR(INDEX(Planos_Contratos!$B$4:$B$203,MATCH(B78,Planos_Contratos!$A$4:$A$203,0)),""))</x:f>
      </x:c>
      <x:c r="D78" s="68" t="str">
        <x:f>IF(B78="","",IFERROR(INDEX(Planos_Contratos!$C$4:$C$203,MATCH(B78,Planos_Contratos!$A$4:$A$203,0)),""))</x:f>
      </x:c>
      <x:c r="E78" s="72"/>
      <x:c r="F78" s="72"/>
      <x:c r="G78" s="92" t="str">
        <x:f>IF(B78="","",IFERROR(INDEX(Planos_Contratos!$L$4:$L$203,MATCH(B78,Planos_Contratos!$A$4:$A$203,0))/MAX(1,INDEX(Planos_Contratos!$M$4:$M$203,MATCH(B78,Planos_Contratos!$A$4:$A$203,0))),""))</x:f>
      </x:c>
      <x:c r="H78" s="112"/>
      <x:c r="I78" s="92" t="str">
        <x:f t="shared" si="3"/>
      </x:c>
      <x:c r="J78" s="68" t="str">
        <x:f>IF(B78="","",IFERROR(INDEX(Planos_Contratos!$I$4:$I$203,MATCH(B78,Planos_Contratos!$A$4:$A$203,0)),""))</x:f>
      </x:c>
      <x:c r="K78" s="70"/>
      <x:c r="L78" s="96" t="str">
        <x:f>IF(B78="","",IFERROR(INDEX(Planos_Contratos!$M$4:$M$203,MATCH(B78,Planos_Contratos!$A$4:$A$203,0)),""))</x:f>
      </x:c>
      <x:c r="M78" s="64"/>
    </x:row>
    <x:row r="79" ht="20" customHeight="1">
      <x:c r="A79" s="68" t="str">
        <x:f t="shared" si="2"/>
      </x:c>
      <x:c r="B79" s="64"/>
      <x:c r="C79" s="68" t="str">
        <x:f>IF(B79="","",IFERROR(INDEX(Planos_Contratos!$B$4:$B$203,MATCH(B79,Planos_Contratos!$A$4:$A$203,0)),""))</x:f>
      </x:c>
      <x:c r="D79" s="68" t="str">
        <x:f>IF(B79="","",IFERROR(INDEX(Planos_Contratos!$C$4:$C$203,MATCH(B79,Planos_Contratos!$A$4:$A$203,0)),""))</x:f>
      </x:c>
      <x:c r="E79" s="72"/>
      <x:c r="F79" s="72"/>
      <x:c r="G79" s="92" t="str">
        <x:f>IF(B79="","",IFERROR(INDEX(Planos_Contratos!$L$4:$L$203,MATCH(B79,Planos_Contratos!$A$4:$A$203,0))/MAX(1,INDEX(Planos_Contratos!$M$4:$M$203,MATCH(B79,Planos_Contratos!$A$4:$A$203,0))),""))</x:f>
      </x:c>
      <x:c r="H79" s="112"/>
      <x:c r="I79" s="92" t="str">
        <x:f t="shared" si="3"/>
      </x:c>
      <x:c r="J79" s="68" t="str">
        <x:f>IF(B79="","",IFERROR(INDEX(Planos_Contratos!$I$4:$I$203,MATCH(B79,Planos_Contratos!$A$4:$A$203,0)),""))</x:f>
      </x:c>
      <x:c r="K79" s="70"/>
      <x:c r="L79" s="96" t="str">
        <x:f>IF(B79="","",IFERROR(INDEX(Planos_Contratos!$M$4:$M$203,MATCH(B79,Planos_Contratos!$A$4:$A$203,0)),""))</x:f>
      </x:c>
      <x:c r="M79" s="64"/>
    </x:row>
    <x:row r="80" ht="20" customHeight="1">
      <x:c r="A80" s="68" t="str">
        <x:f t="shared" si="2"/>
      </x:c>
      <x:c r="B80" s="64"/>
      <x:c r="C80" s="68" t="str">
        <x:f>IF(B80="","",IFERROR(INDEX(Planos_Contratos!$B$4:$B$203,MATCH(B80,Planos_Contratos!$A$4:$A$203,0)),""))</x:f>
      </x:c>
      <x:c r="D80" s="68" t="str">
        <x:f>IF(B80="","",IFERROR(INDEX(Planos_Contratos!$C$4:$C$203,MATCH(B80,Planos_Contratos!$A$4:$A$203,0)),""))</x:f>
      </x:c>
      <x:c r="E80" s="72"/>
      <x:c r="F80" s="72"/>
      <x:c r="G80" s="92" t="str">
        <x:f>IF(B80="","",IFERROR(INDEX(Planos_Contratos!$L$4:$L$203,MATCH(B80,Planos_Contratos!$A$4:$A$203,0))/MAX(1,INDEX(Planos_Contratos!$M$4:$M$203,MATCH(B80,Planos_Contratos!$A$4:$A$203,0))),""))</x:f>
      </x:c>
      <x:c r="H80" s="112"/>
      <x:c r="I80" s="92" t="str">
        <x:f t="shared" si="3"/>
      </x:c>
      <x:c r="J80" s="68" t="str">
        <x:f>IF(B80="","",IFERROR(INDEX(Planos_Contratos!$I$4:$I$203,MATCH(B80,Planos_Contratos!$A$4:$A$203,0)),""))</x:f>
      </x:c>
      <x:c r="K80" s="70"/>
      <x:c r="L80" s="96" t="str">
        <x:f>IF(B80="","",IFERROR(INDEX(Planos_Contratos!$M$4:$M$203,MATCH(B80,Planos_Contratos!$A$4:$A$203,0)),""))</x:f>
      </x:c>
      <x:c r="M80" s="64"/>
    </x:row>
    <x:row r="81" ht="20" customHeight="1">
      <x:c r="A81" s="68" t="str">
        <x:f t="shared" si="2"/>
      </x:c>
      <x:c r="B81" s="64"/>
      <x:c r="C81" s="68" t="str">
        <x:f>IF(B81="","",IFERROR(INDEX(Planos_Contratos!$B$4:$B$203,MATCH(B81,Planos_Contratos!$A$4:$A$203,0)),""))</x:f>
      </x:c>
      <x:c r="D81" s="68" t="str">
        <x:f>IF(B81="","",IFERROR(INDEX(Planos_Contratos!$C$4:$C$203,MATCH(B81,Planos_Contratos!$A$4:$A$203,0)),""))</x:f>
      </x:c>
      <x:c r="E81" s="72"/>
      <x:c r="F81" s="72"/>
      <x:c r="G81" s="92" t="str">
        <x:f>IF(B81="","",IFERROR(INDEX(Planos_Contratos!$L$4:$L$203,MATCH(B81,Planos_Contratos!$A$4:$A$203,0))/MAX(1,INDEX(Planos_Contratos!$M$4:$M$203,MATCH(B81,Planos_Contratos!$A$4:$A$203,0))),""))</x:f>
      </x:c>
      <x:c r="H81" s="112"/>
      <x:c r="I81" s="92" t="str">
        <x:f t="shared" si="3"/>
      </x:c>
      <x:c r="J81" s="68" t="str">
        <x:f>IF(B81="","",IFERROR(INDEX(Planos_Contratos!$I$4:$I$203,MATCH(B81,Planos_Contratos!$A$4:$A$203,0)),""))</x:f>
      </x:c>
      <x:c r="K81" s="70"/>
      <x:c r="L81" s="96" t="str">
        <x:f>IF(B81="","",IFERROR(INDEX(Planos_Contratos!$M$4:$M$203,MATCH(B81,Planos_Contratos!$A$4:$A$203,0)),""))</x:f>
      </x:c>
      <x:c r="M81" s="64"/>
    </x:row>
    <x:row r="82" ht="20" customHeight="1">
      <x:c r="A82" s="68" t="str">
        <x:f t="shared" si="2"/>
      </x:c>
      <x:c r="B82" s="64"/>
      <x:c r="C82" s="68" t="str">
        <x:f>IF(B82="","",IFERROR(INDEX(Planos_Contratos!$B$4:$B$203,MATCH(B82,Planos_Contratos!$A$4:$A$203,0)),""))</x:f>
      </x:c>
      <x:c r="D82" s="68" t="str">
        <x:f>IF(B82="","",IFERROR(INDEX(Planos_Contratos!$C$4:$C$203,MATCH(B82,Planos_Contratos!$A$4:$A$203,0)),""))</x:f>
      </x:c>
      <x:c r="E82" s="72"/>
      <x:c r="F82" s="72"/>
      <x:c r="G82" s="92" t="str">
        <x:f>IF(B82="","",IFERROR(INDEX(Planos_Contratos!$L$4:$L$203,MATCH(B82,Planos_Contratos!$A$4:$A$203,0))/MAX(1,INDEX(Planos_Contratos!$M$4:$M$203,MATCH(B82,Planos_Contratos!$A$4:$A$203,0))),""))</x:f>
      </x:c>
      <x:c r="H82" s="112"/>
      <x:c r="I82" s="92" t="str">
        <x:f t="shared" si="3"/>
      </x:c>
      <x:c r="J82" s="68" t="str">
        <x:f>IF(B82="","",IFERROR(INDEX(Planos_Contratos!$I$4:$I$203,MATCH(B82,Planos_Contratos!$A$4:$A$203,0)),""))</x:f>
      </x:c>
      <x:c r="K82" s="70"/>
      <x:c r="L82" s="96" t="str">
        <x:f>IF(B82="","",IFERROR(INDEX(Planos_Contratos!$M$4:$M$203,MATCH(B82,Planos_Contratos!$A$4:$A$203,0)),""))</x:f>
      </x:c>
      <x:c r="M82" s="64"/>
    </x:row>
    <x:row r="83" ht="20" customHeight="1">
      <x:c r="A83" s="68" t="str">
        <x:f t="shared" si="2"/>
      </x:c>
      <x:c r="B83" s="64"/>
      <x:c r="C83" s="68" t="str">
        <x:f>IF(B83="","",IFERROR(INDEX(Planos_Contratos!$B$4:$B$203,MATCH(B83,Planos_Contratos!$A$4:$A$203,0)),""))</x:f>
      </x:c>
      <x:c r="D83" s="68" t="str">
        <x:f>IF(B83="","",IFERROR(INDEX(Planos_Contratos!$C$4:$C$203,MATCH(B83,Planos_Contratos!$A$4:$A$203,0)),""))</x:f>
      </x:c>
      <x:c r="E83" s="72"/>
      <x:c r="F83" s="72"/>
      <x:c r="G83" s="92" t="str">
        <x:f>IF(B83="","",IFERROR(INDEX(Planos_Contratos!$L$4:$L$203,MATCH(B83,Planos_Contratos!$A$4:$A$203,0))/MAX(1,INDEX(Planos_Contratos!$M$4:$M$203,MATCH(B83,Planos_Contratos!$A$4:$A$203,0))),""))</x:f>
      </x:c>
      <x:c r="H83" s="112"/>
      <x:c r="I83" s="92" t="str">
        <x:f t="shared" si="3"/>
      </x:c>
      <x:c r="J83" s="68" t="str">
        <x:f>IF(B83="","",IFERROR(INDEX(Planos_Contratos!$I$4:$I$203,MATCH(B83,Planos_Contratos!$A$4:$A$203,0)),""))</x:f>
      </x:c>
      <x:c r="K83" s="70"/>
      <x:c r="L83" s="96" t="str">
        <x:f>IF(B83="","",IFERROR(INDEX(Planos_Contratos!$M$4:$M$203,MATCH(B83,Planos_Contratos!$A$4:$A$203,0)),""))</x:f>
      </x:c>
      <x:c r="M83" s="64"/>
    </x:row>
    <x:row r="84" ht="20" customHeight="1">
      <x:c r="A84" s="68" t="str">
        <x:f t="shared" si="2"/>
      </x:c>
      <x:c r="B84" s="64"/>
      <x:c r="C84" s="68" t="str">
        <x:f>IF(B84="","",IFERROR(INDEX(Planos_Contratos!$B$4:$B$203,MATCH(B84,Planos_Contratos!$A$4:$A$203,0)),""))</x:f>
      </x:c>
      <x:c r="D84" s="68" t="str">
        <x:f>IF(B84="","",IFERROR(INDEX(Planos_Contratos!$C$4:$C$203,MATCH(B84,Planos_Contratos!$A$4:$A$203,0)),""))</x:f>
      </x:c>
      <x:c r="E84" s="72"/>
      <x:c r="F84" s="72"/>
      <x:c r="G84" s="92" t="str">
        <x:f>IF(B84="","",IFERROR(INDEX(Planos_Contratos!$L$4:$L$203,MATCH(B84,Planos_Contratos!$A$4:$A$203,0))/MAX(1,INDEX(Planos_Contratos!$M$4:$M$203,MATCH(B84,Planos_Contratos!$A$4:$A$203,0))),""))</x:f>
      </x:c>
      <x:c r="H84" s="112"/>
      <x:c r="I84" s="92" t="str">
        <x:f t="shared" si="3"/>
      </x:c>
      <x:c r="J84" s="68" t="str">
        <x:f>IF(B84="","",IFERROR(INDEX(Planos_Contratos!$I$4:$I$203,MATCH(B84,Planos_Contratos!$A$4:$A$203,0)),""))</x:f>
      </x:c>
      <x:c r="K84" s="70"/>
      <x:c r="L84" s="96" t="str">
        <x:f>IF(B84="","",IFERROR(INDEX(Planos_Contratos!$M$4:$M$203,MATCH(B84,Planos_Contratos!$A$4:$A$203,0)),""))</x:f>
      </x:c>
      <x:c r="M84" s="64"/>
    </x:row>
    <x:row r="85" ht="20" customHeight="1">
      <x:c r="A85" s="68" t="str">
        <x:f t="shared" si="2"/>
      </x:c>
      <x:c r="B85" s="64"/>
      <x:c r="C85" s="68" t="str">
        <x:f>IF(B85="","",IFERROR(INDEX(Planos_Contratos!$B$4:$B$203,MATCH(B85,Planos_Contratos!$A$4:$A$203,0)),""))</x:f>
      </x:c>
      <x:c r="D85" s="68" t="str">
        <x:f>IF(B85="","",IFERROR(INDEX(Planos_Contratos!$C$4:$C$203,MATCH(B85,Planos_Contratos!$A$4:$A$203,0)),""))</x:f>
      </x:c>
      <x:c r="E85" s="72"/>
      <x:c r="F85" s="72"/>
      <x:c r="G85" s="92" t="str">
        <x:f>IF(B85="","",IFERROR(INDEX(Planos_Contratos!$L$4:$L$203,MATCH(B85,Planos_Contratos!$A$4:$A$203,0))/MAX(1,INDEX(Planos_Contratos!$M$4:$M$203,MATCH(B85,Planos_Contratos!$A$4:$A$203,0))),""))</x:f>
      </x:c>
      <x:c r="H85" s="112"/>
      <x:c r="I85" s="92" t="str">
        <x:f t="shared" si="3"/>
      </x:c>
      <x:c r="J85" s="68" t="str">
        <x:f>IF(B85="","",IFERROR(INDEX(Planos_Contratos!$I$4:$I$203,MATCH(B85,Planos_Contratos!$A$4:$A$203,0)),""))</x:f>
      </x:c>
      <x:c r="K85" s="70"/>
      <x:c r="L85" s="96" t="str">
        <x:f>IF(B85="","",IFERROR(INDEX(Planos_Contratos!$M$4:$M$203,MATCH(B85,Planos_Contratos!$A$4:$A$203,0)),""))</x:f>
      </x:c>
      <x:c r="M85" s="64"/>
    </x:row>
    <x:row r="86" ht="20" customHeight="1">
      <x:c r="A86" s="68" t="str">
        <x:f t="shared" si="2"/>
      </x:c>
      <x:c r="B86" s="64"/>
      <x:c r="C86" s="68" t="str">
        <x:f>IF(B86="","",IFERROR(INDEX(Planos_Contratos!$B$4:$B$203,MATCH(B86,Planos_Contratos!$A$4:$A$203,0)),""))</x:f>
      </x:c>
      <x:c r="D86" s="68" t="str">
        <x:f>IF(B86="","",IFERROR(INDEX(Planos_Contratos!$C$4:$C$203,MATCH(B86,Planos_Contratos!$A$4:$A$203,0)),""))</x:f>
      </x:c>
      <x:c r="E86" s="72"/>
      <x:c r="F86" s="72"/>
      <x:c r="G86" s="92" t="str">
        <x:f>IF(B86="","",IFERROR(INDEX(Planos_Contratos!$L$4:$L$203,MATCH(B86,Planos_Contratos!$A$4:$A$203,0))/MAX(1,INDEX(Planos_Contratos!$M$4:$M$203,MATCH(B86,Planos_Contratos!$A$4:$A$203,0))),""))</x:f>
      </x:c>
      <x:c r="H86" s="112"/>
      <x:c r="I86" s="92" t="str">
        <x:f t="shared" si="3"/>
      </x:c>
      <x:c r="J86" s="68" t="str">
        <x:f>IF(B86="","",IFERROR(INDEX(Planos_Contratos!$I$4:$I$203,MATCH(B86,Planos_Contratos!$A$4:$A$203,0)),""))</x:f>
      </x:c>
      <x:c r="K86" s="70"/>
      <x:c r="L86" s="96" t="str">
        <x:f>IF(B86="","",IFERROR(INDEX(Planos_Contratos!$M$4:$M$203,MATCH(B86,Planos_Contratos!$A$4:$A$203,0)),""))</x:f>
      </x:c>
      <x:c r="M86" s="64"/>
    </x:row>
    <x:row r="87" ht="20" customHeight="1">
      <x:c r="A87" s="68" t="str">
        <x:f t="shared" si="2"/>
      </x:c>
      <x:c r="B87" s="64"/>
      <x:c r="C87" s="68" t="str">
        <x:f>IF(B87="","",IFERROR(INDEX(Planos_Contratos!$B$4:$B$203,MATCH(B87,Planos_Contratos!$A$4:$A$203,0)),""))</x:f>
      </x:c>
      <x:c r="D87" s="68" t="str">
        <x:f>IF(B87="","",IFERROR(INDEX(Planos_Contratos!$C$4:$C$203,MATCH(B87,Planos_Contratos!$A$4:$A$203,0)),""))</x:f>
      </x:c>
      <x:c r="E87" s="72"/>
      <x:c r="F87" s="72"/>
      <x:c r="G87" s="92" t="str">
        <x:f>IF(B87="","",IFERROR(INDEX(Planos_Contratos!$L$4:$L$203,MATCH(B87,Planos_Contratos!$A$4:$A$203,0))/MAX(1,INDEX(Planos_Contratos!$M$4:$M$203,MATCH(B87,Planos_Contratos!$A$4:$A$203,0))),""))</x:f>
      </x:c>
      <x:c r="H87" s="112"/>
      <x:c r="I87" s="92" t="str">
        <x:f t="shared" si="3"/>
      </x:c>
      <x:c r="J87" s="68" t="str">
        <x:f>IF(B87="","",IFERROR(INDEX(Planos_Contratos!$I$4:$I$203,MATCH(B87,Planos_Contratos!$A$4:$A$203,0)),""))</x:f>
      </x:c>
      <x:c r="K87" s="70"/>
      <x:c r="L87" s="96" t="str">
        <x:f>IF(B87="","",IFERROR(INDEX(Planos_Contratos!$M$4:$M$203,MATCH(B87,Planos_Contratos!$A$4:$A$203,0)),""))</x:f>
      </x:c>
      <x:c r="M87" s="64"/>
    </x:row>
    <x:row r="88" ht="20" customHeight="1">
      <x:c r="A88" s="68" t="str">
        <x:f t="shared" si="2"/>
      </x:c>
      <x:c r="B88" s="64"/>
      <x:c r="C88" s="68" t="str">
        <x:f>IF(B88="","",IFERROR(INDEX(Planos_Contratos!$B$4:$B$203,MATCH(B88,Planos_Contratos!$A$4:$A$203,0)),""))</x:f>
      </x:c>
      <x:c r="D88" s="68" t="str">
        <x:f>IF(B88="","",IFERROR(INDEX(Planos_Contratos!$C$4:$C$203,MATCH(B88,Planos_Contratos!$A$4:$A$203,0)),""))</x:f>
      </x:c>
      <x:c r="E88" s="72"/>
      <x:c r="F88" s="72"/>
      <x:c r="G88" s="92" t="str">
        <x:f>IF(B88="","",IFERROR(INDEX(Planos_Contratos!$L$4:$L$203,MATCH(B88,Planos_Contratos!$A$4:$A$203,0))/MAX(1,INDEX(Planos_Contratos!$M$4:$M$203,MATCH(B88,Planos_Contratos!$A$4:$A$203,0))),""))</x:f>
      </x:c>
      <x:c r="H88" s="112"/>
      <x:c r="I88" s="92" t="str">
        <x:f t="shared" si="3"/>
      </x:c>
      <x:c r="J88" s="68" t="str">
        <x:f>IF(B88="","",IFERROR(INDEX(Planos_Contratos!$I$4:$I$203,MATCH(B88,Planos_Contratos!$A$4:$A$203,0)),""))</x:f>
      </x:c>
      <x:c r="K88" s="70"/>
      <x:c r="L88" s="96" t="str">
        <x:f>IF(B88="","",IFERROR(INDEX(Planos_Contratos!$M$4:$M$203,MATCH(B88,Planos_Contratos!$A$4:$A$203,0)),""))</x:f>
      </x:c>
      <x:c r="M88" s="64"/>
    </x:row>
    <x:row r="89" ht="20" customHeight="1">
      <x:c r="A89" s="68" t="str">
        <x:f t="shared" si="2"/>
      </x:c>
      <x:c r="B89" s="64"/>
      <x:c r="C89" s="68" t="str">
        <x:f>IF(B89="","",IFERROR(INDEX(Planos_Contratos!$B$4:$B$203,MATCH(B89,Planos_Contratos!$A$4:$A$203,0)),""))</x:f>
      </x:c>
      <x:c r="D89" s="68" t="str">
        <x:f>IF(B89="","",IFERROR(INDEX(Planos_Contratos!$C$4:$C$203,MATCH(B89,Planos_Contratos!$A$4:$A$203,0)),""))</x:f>
      </x:c>
      <x:c r="E89" s="72"/>
      <x:c r="F89" s="72"/>
      <x:c r="G89" s="92" t="str">
        <x:f>IF(B89="","",IFERROR(INDEX(Planos_Contratos!$L$4:$L$203,MATCH(B89,Planos_Contratos!$A$4:$A$203,0))/MAX(1,INDEX(Planos_Contratos!$M$4:$M$203,MATCH(B89,Planos_Contratos!$A$4:$A$203,0))),""))</x:f>
      </x:c>
      <x:c r="H89" s="112"/>
      <x:c r="I89" s="92" t="str">
        <x:f t="shared" si="3"/>
      </x:c>
      <x:c r="J89" s="68" t="str">
        <x:f>IF(B89="","",IFERROR(INDEX(Planos_Contratos!$I$4:$I$203,MATCH(B89,Planos_Contratos!$A$4:$A$203,0)),""))</x:f>
      </x:c>
      <x:c r="K89" s="70"/>
      <x:c r="L89" s="96" t="str">
        <x:f>IF(B89="","",IFERROR(INDEX(Planos_Contratos!$M$4:$M$203,MATCH(B89,Planos_Contratos!$A$4:$A$203,0)),""))</x:f>
      </x:c>
      <x:c r="M89" s="64"/>
    </x:row>
    <x:row r="90" ht="20" customHeight="1">
      <x:c r="A90" s="68" t="str">
        <x:f t="shared" si="2"/>
      </x:c>
      <x:c r="B90" s="64"/>
      <x:c r="C90" s="68" t="str">
        <x:f>IF(B90="","",IFERROR(INDEX(Planos_Contratos!$B$4:$B$203,MATCH(B90,Planos_Contratos!$A$4:$A$203,0)),""))</x:f>
      </x:c>
      <x:c r="D90" s="68" t="str">
        <x:f>IF(B90="","",IFERROR(INDEX(Planos_Contratos!$C$4:$C$203,MATCH(B90,Planos_Contratos!$A$4:$A$203,0)),""))</x:f>
      </x:c>
      <x:c r="E90" s="72"/>
      <x:c r="F90" s="72"/>
      <x:c r="G90" s="92" t="str">
        <x:f>IF(B90="","",IFERROR(INDEX(Planos_Contratos!$L$4:$L$203,MATCH(B90,Planos_Contratos!$A$4:$A$203,0))/MAX(1,INDEX(Planos_Contratos!$M$4:$M$203,MATCH(B90,Planos_Contratos!$A$4:$A$203,0))),""))</x:f>
      </x:c>
      <x:c r="H90" s="112"/>
      <x:c r="I90" s="92" t="str">
        <x:f t="shared" si="3"/>
      </x:c>
      <x:c r="J90" s="68" t="str">
        <x:f>IF(B90="","",IFERROR(INDEX(Planos_Contratos!$I$4:$I$203,MATCH(B90,Planos_Contratos!$A$4:$A$203,0)),""))</x:f>
      </x:c>
      <x:c r="K90" s="70"/>
      <x:c r="L90" s="96" t="str">
        <x:f>IF(B90="","",IFERROR(INDEX(Planos_Contratos!$M$4:$M$203,MATCH(B90,Planos_Contratos!$A$4:$A$203,0)),""))</x:f>
      </x:c>
      <x:c r="M90" s="64"/>
    </x:row>
    <x:row r="91" ht="20" customHeight="1">
      <x:c r="A91" s="68" t="str">
        <x:f t="shared" si="2"/>
      </x:c>
      <x:c r="B91" s="64"/>
      <x:c r="C91" s="68" t="str">
        <x:f>IF(B91="","",IFERROR(INDEX(Planos_Contratos!$B$4:$B$203,MATCH(B91,Planos_Contratos!$A$4:$A$203,0)),""))</x:f>
      </x:c>
      <x:c r="D91" s="68" t="str">
        <x:f>IF(B91="","",IFERROR(INDEX(Planos_Contratos!$C$4:$C$203,MATCH(B91,Planos_Contratos!$A$4:$A$203,0)),""))</x:f>
      </x:c>
      <x:c r="E91" s="72"/>
      <x:c r="F91" s="72"/>
      <x:c r="G91" s="92" t="str">
        <x:f>IF(B91="","",IFERROR(INDEX(Planos_Contratos!$L$4:$L$203,MATCH(B91,Planos_Contratos!$A$4:$A$203,0))/MAX(1,INDEX(Planos_Contratos!$M$4:$M$203,MATCH(B91,Planos_Contratos!$A$4:$A$203,0))),""))</x:f>
      </x:c>
      <x:c r="H91" s="112"/>
      <x:c r="I91" s="92" t="str">
        <x:f t="shared" si="3"/>
      </x:c>
      <x:c r="J91" s="68" t="str">
        <x:f>IF(B91="","",IFERROR(INDEX(Planos_Contratos!$I$4:$I$203,MATCH(B91,Planos_Contratos!$A$4:$A$203,0)),""))</x:f>
      </x:c>
      <x:c r="K91" s="70"/>
      <x:c r="L91" s="96" t="str">
        <x:f>IF(B91="","",IFERROR(INDEX(Planos_Contratos!$M$4:$M$203,MATCH(B91,Planos_Contratos!$A$4:$A$203,0)),""))</x:f>
      </x:c>
      <x:c r="M91" s="64"/>
    </x:row>
    <x:row r="92" ht="20" customHeight="1">
      <x:c r="A92" s="68" t="str">
        <x:f t="shared" si="2"/>
      </x:c>
      <x:c r="B92" s="64"/>
      <x:c r="C92" s="68" t="str">
        <x:f>IF(B92="","",IFERROR(INDEX(Planos_Contratos!$B$4:$B$203,MATCH(B92,Planos_Contratos!$A$4:$A$203,0)),""))</x:f>
      </x:c>
      <x:c r="D92" s="68" t="str">
        <x:f>IF(B92="","",IFERROR(INDEX(Planos_Contratos!$C$4:$C$203,MATCH(B92,Planos_Contratos!$A$4:$A$203,0)),""))</x:f>
      </x:c>
      <x:c r="E92" s="72"/>
      <x:c r="F92" s="72"/>
      <x:c r="G92" s="92" t="str">
        <x:f>IF(B92="","",IFERROR(INDEX(Planos_Contratos!$L$4:$L$203,MATCH(B92,Planos_Contratos!$A$4:$A$203,0))/MAX(1,INDEX(Planos_Contratos!$M$4:$M$203,MATCH(B92,Planos_Contratos!$A$4:$A$203,0))),""))</x:f>
      </x:c>
      <x:c r="H92" s="112"/>
      <x:c r="I92" s="92" t="str">
        <x:f t="shared" si="3"/>
      </x:c>
      <x:c r="J92" s="68" t="str">
        <x:f>IF(B92="","",IFERROR(INDEX(Planos_Contratos!$I$4:$I$203,MATCH(B92,Planos_Contratos!$A$4:$A$203,0)),""))</x:f>
      </x:c>
      <x:c r="K92" s="70"/>
      <x:c r="L92" s="96" t="str">
        <x:f>IF(B92="","",IFERROR(INDEX(Planos_Contratos!$M$4:$M$203,MATCH(B92,Planos_Contratos!$A$4:$A$203,0)),""))</x:f>
      </x:c>
      <x:c r="M92" s="64"/>
    </x:row>
    <x:row r="93" ht="20" customHeight="1">
      <x:c r="A93" s="68" t="str">
        <x:f t="shared" si="2"/>
      </x:c>
      <x:c r="B93" s="64"/>
      <x:c r="C93" s="68" t="str">
        <x:f>IF(B93="","",IFERROR(INDEX(Planos_Contratos!$B$4:$B$203,MATCH(B93,Planos_Contratos!$A$4:$A$203,0)),""))</x:f>
      </x:c>
      <x:c r="D93" s="68" t="str">
        <x:f>IF(B93="","",IFERROR(INDEX(Planos_Contratos!$C$4:$C$203,MATCH(B93,Planos_Contratos!$A$4:$A$203,0)),""))</x:f>
      </x:c>
      <x:c r="E93" s="72"/>
      <x:c r="F93" s="72"/>
      <x:c r="G93" s="92" t="str">
        <x:f>IF(B93="","",IFERROR(INDEX(Planos_Contratos!$L$4:$L$203,MATCH(B93,Planos_Contratos!$A$4:$A$203,0))/MAX(1,INDEX(Planos_Contratos!$M$4:$M$203,MATCH(B93,Planos_Contratos!$A$4:$A$203,0))),""))</x:f>
      </x:c>
      <x:c r="H93" s="112"/>
      <x:c r="I93" s="92" t="str">
        <x:f t="shared" si="3"/>
      </x:c>
      <x:c r="J93" s="68" t="str">
        <x:f>IF(B93="","",IFERROR(INDEX(Planos_Contratos!$I$4:$I$203,MATCH(B93,Planos_Contratos!$A$4:$A$203,0)),""))</x:f>
      </x:c>
      <x:c r="K93" s="70"/>
      <x:c r="L93" s="96" t="str">
        <x:f>IF(B93="","",IFERROR(INDEX(Planos_Contratos!$M$4:$M$203,MATCH(B93,Planos_Contratos!$A$4:$A$203,0)),""))</x:f>
      </x:c>
      <x:c r="M93" s="64"/>
    </x:row>
    <x:row r="94" ht="20" customHeight="1">
      <x:c r="A94" s="68" t="str">
        <x:f t="shared" si="2"/>
      </x:c>
      <x:c r="B94" s="64"/>
      <x:c r="C94" s="68" t="str">
        <x:f>IF(B94="","",IFERROR(INDEX(Planos_Contratos!$B$4:$B$203,MATCH(B94,Planos_Contratos!$A$4:$A$203,0)),""))</x:f>
      </x:c>
      <x:c r="D94" s="68" t="str">
        <x:f>IF(B94="","",IFERROR(INDEX(Planos_Contratos!$C$4:$C$203,MATCH(B94,Planos_Contratos!$A$4:$A$203,0)),""))</x:f>
      </x:c>
      <x:c r="E94" s="72"/>
      <x:c r="F94" s="72"/>
      <x:c r="G94" s="92" t="str">
        <x:f>IF(B94="","",IFERROR(INDEX(Planos_Contratos!$L$4:$L$203,MATCH(B94,Planos_Contratos!$A$4:$A$203,0))/MAX(1,INDEX(Planos_Contratos!$M$4:$M$203,MATCH(B94,Planos_Contratos!$A$4:$A$203,0))),""))</x:f>
      </x:c>
      <x:c r="H94" s="112"/>
      <x:c r="I94" s="92" t="str">
        <x:f t="shared" si="3"/>
      </x:c>
      <x:c r="J94" s="68" t="str">
        <x:f>IF(B94="","",IFERROR(INDEX(Planos_Contratos!$I$4:$I$203,MATCH(B94,Planos_Contratos!$A$4:$A$203,0)),""))</x:f>
      </x:c>
      <x:c r="K94" s="70"/>
      <x:c r="L94" s="96" t="str">
        <x:f>IF(B94="","",IFERROR(INDEX(Planos_Contratos!$M$4:$M$203,MATCH(B94,Planos_Contratos!$A$4:$A$203,0)),""))</x:f>
      </x:c>
      <x:c r="M94" s="64"/>
    </x:row>
    <x:row r="95" ht="20" customHeight="1">
      <x:c r="A95" s="68" t="str">
        <x:f t="shared" si="2"/>
      </x:c>
      <x:c r="B95" s="64"/>
      <x:c r="C95" s="68" t="str">
        <x:f>IF(B95="","",IFERROR(INDEX(Planos_Contratos!$B$4:$B$203,MATCH(B95,Planos_Contratos!$A$4:$A$203,0)),""))</x:f>
      </x:c>
      <x:c r="D95" s="68" t="str">
        <x:f>IF(B95="","",IFERROR(INDEX(Planos_Contratos!$C$4:$C$203,MATCH(B95,Planos_Contratos!$A$4:$A$203,0)),""))</x:f>
      </x:c>
      <x:c r="E95" s="72"/>
      <x:c r="F95" s="72"/>
      <x:c r="G95" s="92" t="str">
        <x:f>IF(B95="","",IFERROR(INDEX(Planos_Contratos!$L$4:$L$203,MATCH(B95,Planos_Contratos!$A$4:$A$203,0))/MAX(1,INDEX(Planos_Contratos!$M$4:$M$203,MATCH(B95,Planos_Contratos!$A$4:$A$203,0))),""))</x:f>
      </x:c>
      <x:c r="H95" s="112"/>
      <x:c r="I95" s="92" t="str">
        <x:f t="shared" si="3"/>
      </x:c>
      <x:c r="J95" s="68" t="str">
        <x:f>IF(B95="","",IFERROR(INDEX(Planos_Contratos!$I$4:$I$203,MATCH(B95,Planos_Contratos!$A$4:$A$203,0)),""))</x:f>
      </x:c>
      <x:c r="K95" s="70"/>
      <x:c r="L95" s="96" t="str">
        <x:f>IF(B95="","",IFERROR(INDEX(Planos_Contratos!$M$4:$M$203,MATCH(B95,Planos_Contratos!$A$4:$A$203,0)),""))</x:f>
      </x:c>
      <x:c r="M95" s="64"/>
    </x:row>
    <x:row r="96" ht="20" customHeight="1">
      <x:c r="A96" s="68" t="str">
        <x:f t="shared" si="2"/>
      </x:c>
      <x:c r="B96" s="64"/>
      <x:c r="C96" s="68" t="str">
        <x:f>IF(B96="","",IFERROR(INDEX(Planos_Contratos!$B$4:$B$203,MATCH(B96,Planos_Contratos!$A$4:$A$203,0)),""))</x:f>
      </x:c>
      <x:c r="D96" s="68" t="str">
        <x:f>IF(B96="","",IFERROR(INDEX(Planos_Contratos!$C$4:$C$203,MATCH(B96,Planos_Contratos!$A$4:$A$203,0)),""))</x:f>
      </x:c>
      <x:c r="E96" s="72"/>
      <x:c r="F96" s="72"/>
      <x:c r="G96" s="92" t="str">
        <x:f>IF(B96="","",IFERROR(INDEX(Planos_Contratos!$L$4:$L$203,MATCH(B96,Planos_Contratos!$A$4:$A$203,0))/MAX(1,INDEX(Planos_Contratos!$M$4:$M$203,MATCH(B96,Planos_Contratos!$A$4:$A$203,0))),""))</x:f>
      </x:c>
      <x:c r="H96" s="112"/>
      <x:c r="I96" s="92" t="str">
        <x:f t="shared" si="3"/>
      </x:c>
      <x:c r="J96" s="68" t="str">
        <x:f>IF(B96="","",IFERROR(INDEX(Planos_Contratos!$I$4:$I$203,MATCH(B96,Planos_Contratos!$A$4:$A$203,0)),""))</x:f>
      </x:c>
      <x:c r="K96" s="70"/>
      <x:c r="L96" s="96" t="str">
        <x:f>IF(B96="","",IFERROR(INDEX(Planos_Contratos!$M$4:$M$203,MATCH(B96,Planos_Contratos!$A$4:$A$203,0)),""))</x:f>
      </x:c>
      <x:c r="M96" s="64"/>
    </x:row>
    <x:row r="97" ht="20" customHeight="1">
      <x:c r="A97" s="68" t="str">
        <x:f t="shared" si="2"/>
      </x:c>
      <x:c r="B97" s="64"/>
      <x:c r="C97" s="68" t="str">
        <x:f>IF(B97="","",IFERROR(INDEX(Planos_Contratos!$B$4:$B$203,MATCH(B97,Planos_Contratos!$A$4:$A$203,0)),""))</x:f>
      </x:c>
      <x:c r="D97" s="68" t="str">
        <x:f>IF(B97="","",IFERROR(INDEX(Planos_Contratos!$C$4:$C$203,MATCH(B97,Planos_Contratos!$A$4:$A$203,0)),""))</x:f>
      </x:c>
      <x:c r="E97" s="72"/>
      <x:c r="F97" s="72"/>
      <x:c r="G97" s="92" t="str">
        <x:f>IF(B97="","",IFERROR(INDEX(Planos_Contratos!$L$4:$L$203,MATCH(B97,Planos_Contratos!$A$4:$A$203,0))/MAX(1,INDEX(Planos_Contratos!$M$4:$M$203,MATCH(B97,Planos_Contratos!$A$4:$A$203,0))),""))</x:f>
      </x:c>
      <x:c r="H97" s="112"/>
      <x:c r="I97" s="92" t="str">
        <x:f t="shared" si="3"/>
      </x:c>
      <x:c r="J97" s="68" t="str">
        <x:f>IF(B97="","",IFERROR(INDEX(Planos_Contratos!$I$4:$I$203,MATCH(B97,Planos_Contratos!$A$4:$A$203,0)),""))</x:f>
      </x:c>
      <x:c r="K97" s="70"/>
      <x:c r="L97" s="96" t="str">
        <x:f>IF(B97="","",IFERROR(INDEX(Planos_Contratos!$M$4:$M$203,MATCH(B97,Planos_Contratos!$A$4:$A$203,0)),""))</x:f>
      </x:c>
      <x:c r="M97" s="64"/>
    </x:row>
    <x:row r="98" ht="20" customHeight="1">
      <x:c r="A98" s="68" t="str">
        <x:f t="shared" si="2"/>
      </x:c>
      <x:c r="B98" s="64"/>
      <x:c r="C98" s="68" t="str">
        <x:f>IF(B98="","",IFERROR(INDEX(Planos_Contratos!$B$4:$B$203,MATCH(B98,Planos_Contratos!$A$4:$A$203,0)),""))</x:f>
      </x:c>
      <x:c r="D98" s="68" t="str">
        <x:f>IF(B98="","",IFERROR(INDEX(Planos_Contratos!$C$4:$C$203,MATCH(B98,Planos_Contratos!$A$4:$A$203,0)),""))</x:f>
      </x:c>
      <x:c r="E98" s="72"/>
      <x:c r="F98" s="72"/>
      <x:c r="G98" s="92" t="str">
        <x:f>IF(B98="","",IFERROR(INDEX(Planos_Contratos!$L$4:$L$203,MATCH(B98,Planos_Contratos!$A$4:$A$203,0))/MAX(1,INDEX(Planos_Contratos!$M$4:$M$203,MATCH(B98,Planos_Contratos!$A$4:$A$203,0))),""))</x:f>
      </x:c>
      <x:c r="H98" s="112"/>
      <x:c r="I98" s="92" t="str">
        <x:f t="shared" si="3"/>
      </x:c>
      <x:c r="J98" s="68" t="str">
        <x:f>IF(B98="","",IFERROR(INDEX(Planos_Contratos!$I$4:$I$203,MATCH(B98,Planos_Contratos!$A$4:$A$203,0)),""))</x:f>
      </x:c>
      <x:c r="K98" s="70"/>
      <x:c r="L98" s="96" t="str">
        <x:f>IF(B98="","",IFERROR(INDEX(Planos_Contratos!$M$4:$M$203,MATCH(B98,Planos_Contratos!$A$4:$A$203,0)),""))</x:f>
      </x:c>
      <x:c r="M98" s="64"/>
    </x:row>
    <x:row r="99" ht="20" customHeight="1">
      <x:c r="A99" s="68" t="str">
        <x:f t="shared" si="2"/>
      </x:c>
      <x:c r="B99" s="64"/>
      <x:c r="C99" s="68" t="str">
        <x:f>IF(B99="","",IFERROR(INDEX(Planos_Contratos!$B$4:$B$203,MATCH(B99,Planos_Contratos!$A$4:$A$203,0)),""))</x:f>
      </x:c>
      <x:c r="D99" s="68" t="str">
        <x:f>IF(B99="","",IFERROR(INDEX(Planos_Contratos!$C$4:$C$203,MATCH(B99,Planos_Contratos!$A$4:$A$203,0)),""))</x:f>
      </x:c>
      <x:c r="E99" s="72"/>
      <x:c r="F99" s="72"/>
      <x:c r="G99" s="92" t="str">
        <x:f>IF(B99="","",IFERROR(INDEX(Planos_Contratos!$L$4:$L$203,MATCH(B99,Planos_Contratos!$A$4:$A$203,0))/MAX(1,INDEX(Planos_Contratos!$M$4:$M$203,MATCH(B99,Planos_Contratos!$A$4:$A$203,0))),""))</x:f>
      </x:c>
      <x:c r="H99" s="112"/>
      <x:c r="I99" s="92" t="str">
        <x:f t="shared" si="3"/>
      </x:c>
      <x:c r="J99" s="68" t="str">
        <x:f>IF(B99="","",IFERROR(INDEX(Planos_Contratos!$I$4:$I$203,MATCH(B99,Planos_Contratos!$A$4:$A$203,0)),""))</x:f>
      </x:c>
      <x:c r="K99" s="70"/>
      <x:c r="L99" s="96" t="str">
        <x:f>IF(B99="","",IFERROR(INDEX(Planos_Contratos!$M$4:$M$203,MATCH(B99,Planos_Contratos!$A$4:$A$203,0)),""))</x:f>
      </x:c>
      <x:c r="M99" s="64"/>
    </x:row>
    <x:row r="100" ht="20" customHeight="1">
      <x:c r="A100" s="68" t="str">
        <x:f t="shared" si="2"/>
      </x:c>
      <x:c r="B100" s="64"/>
      <x:c r="C100" s="68" t="str">
        <x:f>IF(B100="","",IFERROR(INDEX(Planos_Contratos!$B$4:$B$203,MATCH(B100,Planos_Contratos!$A$4:$A$203,0)),""))</x:f>
      </x:c>
      <x:c r="D100" s="68" t="str">
        <x:f>IF(B100="","",IFERROR(INDEX(Planos_Contratos!$C$4:$C$203,MATCH(B100,Planos_Contratos!$A$4:$A$203,0)),""))</x:f>
      </x:c>
      <x:c r="E100" s="72"/>
      <x:c r="F100" s="72"/>
      <x:c r="G100" s="92" t="str">
        <x:f>IF(B100="","",IFERROR(INDEX(Planos_Contratos!$L$4:$L$203,MATCH(B100,Planos_Contratos!$A$4:$A$203,0))/MAX(1,INDEX(Planos_Contratos!$M$4:$M$203,MATCH(B100,Planos_Contratos!$A$4:$A$203,0))),""))</x:f>
      </x:c>
      <x:c r="H100" s="112"/>
      <x:c r="I100" s="92" t="str">
        <x:f t="shared" si="3"/>
      </x:c>
      <x:c r="J100" s="68" t="str">
        <x:f>IF(B100="","",IFERROR(INDEX(Planos_Contratos!$I$4:$I$203,MATCH(B100,Planos_Contratos!$A$4:$A$203,0)),""))</x:f>
      </x:c>
      <x:c r="K100" s="70"/>
      <x:c r="L100" s="96" t="str">
        <x:f>IF(B100="","",IFERROR(INDEX(Planos_Contratos!$M$4:$M$203,MATCH(B100,Planos_Contratos!$A$4:$A$203,0)),""))</x:f>
      </x:c>
      <x:c r="M100" s="64"/>
    </x:row>
    <x:row r="101" ht="20" customHeight="1">
      <x:c r="A101" s="68" t="str">
        <x:f t="shared" si="2"/>
      </x:c>
      <x:c r="B101" s="64"/>
      <x:c r="C101" s="68" t="str">
        <x:f>IF(B101="","",IFERROR(INDEX(Planos_Contratos!$B$4:$B$203,MATCH(B101,Planos_Contratos!$A$4:$A$203,0)),""))</x:f>
      </x:c>
      <x:c r="D101" s="68" t="str">
        <x:f>IF(B101="","",IFERROR(INDEX(Planos_Contratos!$C$4:$C$203,MATCH(B101,Planos_Contratos!$A$4:$A$203,0)),""))</x:f>
      </x:c>
      <x:c r="E101" s="72"/>
      <x:c r="F101" s="72"/>
      <x:c r="G101" s="92" t="str">
        <x:f>IF(B101="","",IFERROR(INDEX(Planos_Contratos!$L$4:$L$203,MATCH(B101,Planos_Contratos!$A$4:$A$203,0))/MAX(1,INDEX(Planos_Contratos!$M$4:$M$203,MATCH(B101,Planos_Contratos!$A$4:$A$203,0))),""))</x:f>
      </x:c>
      <x:c r="H101" s="112"/>
      <x:c r="I101" s="92" t="str">
        <x:f t="shared" si="3"/>
      </x:c>
      <x:c r="J101" s="68" t="str">
        <x:f>IF(B101="","",IFERROR(INDEX(Planos_Contratos!$I$4:$I$203,MATCH(B101,Planos_Contratos!$A$4:$A$203,0)),""))</x:f>
      </x:c>
      <x:c r="K101" s="70"/>
      <x:c r="L101" s="96" t="str">
        <x:f>IF(B101="","",IFERROR(INDEX(Planos_Contratos!$M$4:$M$203,MATCH(B101,Planos_Contratos!$A$4:$A$203,0)),""))</x:f>
      </x:c>
      <x:c r="M101" s="64"/>
    </x:row>
    <x:row r="102" ht="20" customHeight="1">
      <x:c r="A102" s="68" t="str">
        <x:f t="shared" si="2"/>
      </x:c>
      <x:c r="B102" s="64"/>
      <x:c r="C102" s="68" t="str">
        <x:f>IF(B102="","",IFERROR(INDEX(Planos_Contratos!$B$4:$B$203,MATCH(B102,Planos_Contratos!$A$4:$A$203,0)),""))</x:f>
      </x:c>
      <x:c r="D102" s="68" t="str">
        <x:f>IF(B102="","",IFERROR(INDEX(Planos_Contratos!$C$4:$C$203,MATCH(B102,Planos_Contratos!$A$4:$A$203,0)),""))</x:f>
      </x:c>
      <x:c r="E102" s="72"/>
      <x:c r="F102" s="72"/>
      <x:c r="G102" s="92" t="str">
        <x:f>IF(B102="","",IFERROR(INDEX(Planos_Contratos!$L$4:$L$203,MATCH(B102,Planos_Contratos!$A$4:$A$203,0))/MAX(1,INDEX(Planos_Contratos!$M$4:$M$203,MATCH(B102,Planos_Contratos!$A$4:$A$203,0))),""))</x:f>
      </x:c>
      <x:c r="H102" s="112"/>
      <x:c r="I102" s="92" t="str">
        <x:f t="shared" si="3"/>
      </x:c>
      <x:c r="J102" s="68" t="str">
        <x:f>IF(B102="","",IFERROR(INDEX(Planos_Contratos!$I$4:$I$203,MATCH(B102,Planos_Contratos!$A$4:$A$203,0)),""))</x:f>
      </x:c>
      <x:c r="K102" s="70"/>
      <x:c r="L102" s="96" t="str">
        <x:f>IF(B102="","",IFERROR(INDEX(Planos_Contratos!$M$4:$M$203,MATCH(B102,Planos_Contratos!$A$4:$A$203,0)),""))</x:f>
      </x:c>
      <x:c r="M102" s="64"/>
    </x:row>
    <x:row r="103" ht="20" customHeight="1">
      <x:c r="A103" s="68" t="str">
        <x:f t="shared" si="2"/>
      </x:c>
      <x:c r="B103" s="64"/>
      <x:c r="C103" s="68" t="str">
        <x:f>IF(B103="","",IFERROR(INDEX(Planos_Contratos!$B$4:$B$203,MATCH(B103,Planos_Contratos!$A$4:$A$203,0)),""))</x:f>
      </x:c>
      <x:c r="D103" s="68" t="str">
        <x:f>IF(B103="","",IFERROR(INDEX(Planos_Contratos!$C$4:$C$203,MATCH(B103,Planos_Contratos!$A$4:$A$203,0)),""))</x:f>
      </x:c>
      <x:c r="E103" s="72"/>
      <x:c r="F103" s="72"/>
      <x:c r="G103" s="92" t="str">
        <x:f>IF(B103="","",IFERROR(INDEX(Planos_Contratos!$L$4:$L$203,MATCH(B103,Planos_Contratos!$A$4:$A$203,0))/MAX(1,INDEX(Planos_Contratos!$M$4:$M$203,MATCH(B103,Planos_Contratos!$A$4:$A$203,0))),""))</x:f>
      </x:c>
      <x:c r="H103" s="112"/>
      <x:c r="I103" s="92" t="str">
        <x:f t="shared" si="3"/>
      </x:c>
      <x:c r="J103" s="68" t="str">
        <x:f>IF(B103="","",IFERROR(INDEX(Planos_Contratos!$I$4:$I$203,MATCH(B103,Planos_Contratos!$A$4:$A$203,0)),""))</x:f>
      </x:c>
      <x:c r="K103" s="70"/>
      <x:c r="L103" s="96" t="str">
        <x:f>IF(B103="","",IFERROR(INDEX(Planos_Contratos!$M$4:$M$203,MATCH(B103,Planos_Contratos!$A$4:$A$203,0)),""))</x:f>
      </x:c>
      <x:c r="M103" s="64"/>
    </x:row>
    <x:row r="104" ht="20" customHeight="1">
      <x:c r="A104" s="68" t="str">
        <x:f t="shared" si="2"/>
      </x:c>
      <x:c r="B104" s="64"/>
      <x:c r="C104" s="68" t="str">
        <x:f>IF(B104="","",IFERROR(INDEX(Planos_Contratos!$B$4:$B$203,MATCH(B104,Planos_Contratos!$A$4:$A$203,0)),""))</x:f>
      </x:c>
      <x:c r="D104" s="68" t="str">
        <x:f>IF(B104="","",IFERROR(INDEX(Planos_Contratos!$C$4:$C$203,MATCH(B104,Planos_Contratos!$A$4:$A$203,0)),""))</x:f>
      </x:c>
      <x:c r="E104" s="72"/>
      <x:c r="F104" s="72"/>
      <x:c r="G104" s="92" t="str">
        <x:f>IF(B104="","",IFERROR(INDEX(Planos_Contratos!$L$4:$L$203,MATCH(B104,Planos_Contratos!$A$4:$A$203,0))/MAX(1,INDEX(Planos_Contratos!$M$4:$M$203,MATCH(B104,Planos_Contratos!$A$4:$A$203,0))),""))</x:f>
      </x:c>
      <x:c r="H104" s="112"/>
      <x:c r="I104" s="92" t="str">
        <x:f t="shared" si="3"/>
      </x:c>
      <x:c r="J104" s="68" t="str">
        <x:f>IF(B104="","",IFERROR(INDEX(Planos_Contratos!$I$4:$I$203,MATCH(B104,Planos_Contratos!$A$4:$A$203,0)),""))</x:f>
      </x:c>
      <x:c r="K104" s="70"/>
      <x:c r="L104" s="96" t="str">
        <x:f>IF(B104="","",IFERROR(INDEX(Planos_Contratos!$M$4:$M$203,MATCH(B104,Planos_Contratos!$A$4:$A$203,0)),""))</x:f>
      </x:c>
      <x:c r="M104" s="64"/>
    </x:row>
    <x:row r="105" ht="20" customHeight="1">
      <x:c r="A105" s="68" t="str">
        <x:f t="shared" si="2"/>
      </x:c>
      <x:c r="B105" s="64"/>
      <x:c r="C105" s="68" t="str">
        <x:f>IF(B105="","",IFERROR(INDEX(Planos_Contratos!$B$4:$B$203,MATCH(B105,Planos_Contratos!$A$4:$A$203,0)),""))</x:f>
      </x:c>
      <x:c r="D105" s="68" t="str">
        <x:f>IF(B105="","",IFERROR(INDEX(Planos_Contratos!$C$4:$C$203,MATCH(B105,Planos_Contratos!$A$4:$A$203,0)),""))</x:f>
      </x:c>
      <x:c r="E105" s="72"/>
      <x:c r="F105" s="72"/>
      <x:c r="G105" s="92" t="str">
        <x:f>IF(B105="","",IFERROR(INDEX(Planos_Contratos!$L$4:$L$203,MATCH(B105,Planos_Contratos!$A$4:$A$203,0))/MAX(1,INDEX(Planos_Contratos!$M$4:$M$203,MATCH(B105,Planos_Contratos!$A$4:$A$203,0))),""))</x:f>
      </x:c>
      <x:c r="H105" s="112"/>
      <x:c r="I105" s="92" t="str">
        <x:f t="shared" si="3"/>
      </x:c>
      <x:c r="J105" s="68" t="str">
        <x:f>IF(B105="","",IFERROR(INDEX(Planos_Contratos!$I$4:$I$203,MATCH(B105,Planos_Contratos!$A$4:$A$203,0)),""))</x:f>
      </x:c>
      <x:c r="K105" s="70"/>
      <x:c r="L105" s="96" t="str">
        <x:f>IF(B105="","",IFERROR(INDEX(Planos_Contratos!$M$4:$M$203,MATCH(B105,Planos_Contratos!$A$4:$A$203,0)),""))</x:f>
      </x:c>
      <x:c r="M105" s="64"/>
    </x:row>
    <x:row r="106" ht="20" customHeight="1">
      <x:c r="A106" s="68" t="str">
        <x:f t="shared" si="2"/>
      </x:c>
      <x:c r="B106" s="64"/>
      <x:c r="C106" s="68" t="str">
        <x:f>IF(B106="","",IFERROR(INDEX(Planos_Contratos!$B$4:$B$203,MATCH(B106,Planos_Contratos!$A$4:$A$203,0)),""))</x:f>
      </x:c>
      <x:c r="D106" s="68" t="str">
        <x:f>IF(B106="","",IFERROR(INDEX(Planos_Contratos!$C$4:$C$203,MATCH(B106,Planos_Contratos!$A$4:$A$203,0)),""))</x:f>
      </x:c>
      <x:c r="E106" s="72"/>
      <x:c r="F106" s="72"/>
      <x:c r="G106" s="92" t="str">
        <x:f>IF(B106="","",IFERROR(INDEX(Planos_Contratos!$L$4:$L$203,MATCH(B106,Planos_Contratos!$A$4:$A$203,0))/MAX(1,INDEX(Planos_Contratos!$M$4:$M$203,MATCH(B106,Planos_Contratos!$A$4:$A$203,0))),""))</x:f>
      </x:c>
      <x:c r="H106" s="112"/>
      <x:c r="I106" s="92" t="str">
        <x:f t="shared" si="3"/>
      </x:c>
      <x:c r="J106" s="68" t="str">
        <x:f>IF(B106="","",IFERROR(INDEX(Planos_Contratos!$I$4:$I$203,MATCH(B106,Planos_Contratos!$A$4:$A$203,0)),""))</x:f>
      </x:c>
      <x:c r="K106" s="70"/>
      <x:c r="L106" s="96" t="str">
        <x:f>IF(B106="","",IFERROR(INDEX(Planos_Contratos!$M$4:$M$203,MATCH(B106,Planos_Contratos!$A$4:$A$203,0)),""))</x:f>
      </x:c>
      <x:c r="M106" s="64"/>
    </x:row>
    <x:row r="107" ht="20" customHeight="1">
      <x:c r="A107" s="68" t="str">
        <x:f t="shared" si="2"/>
      </x:c>
      <x:c r="B107" s="64"/>
      <x:c r="C107" s="68" t="str">
        <x:f>IF(B107="","",IFERROR(INDEX(Planos_Contratos!$B$4:$B$203,MATCH(B107,Planos_Contratos!$A$4:$A$203,0)),""))</x:f>
      </x:c>
      <x:c r="D107" s="68" t="str">
        <x:f>IF(B107="","",IFERROR(INDEX(Planos_Contratos!$C$4:$C$203,MATCH(B107,Planos_Contratos!$A$4:$A$203,0)),""))</x:f>
      </x:c>
      <x:c r="E107" s="72"/>
      <x:c r="F107" s="72"/>
      <x:c r="G107" s="92" t="str">
        <x:f>IF(B107="","",IFERROR(INDEX(Planos_Contratos!$L$4:$L$203,MATCH(B107,Planos_Contratos!$A$4:$A$203,0))/MAX(1,INDEX(Planos_Contratos!$M$4:$M$203,MATCH(B107,Planos_Contratos!$A$4:$A$203,0))),""))</x:f>
      </x:c>
      <x:c r="H107" s="112"/>
      <x:c r="I107" s="92" t="str">
        <x:f t="shared" si="3"/>
      </x:c>
      <x:c r="J107" s="68" t="str">
        <x:f>IF(B107="","",IFERROR(INDEX(Planos_Contratos!$I$4:$I$203,MATCH(B107,Planos_Contratos!$A$4:$A$203,0)),""))</x:f>
      </x:c>
      <x:c r="K107" s="70"/>
      <x:c r="L107" s="96" t="str">
        <x:f>IF(B107="","",IFERROR(INDEX(Planos_Contratos!$M$4:$M$203,MATCH(B107,Planos_Contratos!$A$4:$A$203,0)),""))</x:f>
      </x:c>
      <x:c r="M107" s="64"/>
    </x:row>
    <x:row r="108" ht="20" customHeight="1">
      <x:c r="A108" s="68" t="str">
        <x:f t="shared" si="2"/>
      </x:c>
      <x:c r="B108" s="64"/>
      <x:c r="C108" s="68" t="str">
        <x:f>IF(B108="","",IFERROR(INDEX(Planos_Contratos!$B$4:$B$203,MATCH(B108,Planos_Contratos!$A$4:$A$203,0)),""))</x:f>
      </x:c>
      <x:c r="D108" s="68" t="str">
        <x:f>IF(B108="","",IFERROR(INDEX(Planos_Contratos!$C$4:$C$203,MATCH(B108,Planos_Contratos!$A$4:$A$203,0)),""))</x:f>
      </x:c>
      <x:c r="E108" s="72"/>
      <x:c r="F108" s="72"/>
      <x:c r="G108" s="92" t="str">
        <x:f>IF(B108="","",IFERROR(INDEX(Planos_Contratos!$L$4:$L$203,MATCH(B108,Planos_Contratos!$A$4:$A$203,0))/MAX(1,INDEX(Planos_Contratos!$M$4:$M$203,MATCH(B108,Planos_Contratos!$A$4:$A$203,0))),""))</x:f>
      </x:c>
      <x:c r="H108" s="112"/>
      <x:c r="I108" s="92" t="str">
        <x:f t="shared" si="3"/>
      </x:c>
      <x:c r="J108" s="68" t="str">
        <x:f>IF(B108="","",IFERROR(INDEX(Planos_Contratos!$I$4:$I$203,MATCH(B108,Planos_Contratos!$A$4:$A$203,0)),""))</x:f>
      </x:c>
      <x:c r="K108" s="70"/>
      <x:c r="L108" s="96" t="str">
        <x:f>IF(B108="","",IFERROR(INDEX(Planos_Contratos!$M$4:$M$203,MATCH(B108,Planos_Contratos!$A$4:$A$203,0)),""))</x:f>
      </x:c>
      <x:c r="M108" s="64"/>
    </x:row>
    <x:row r="109" ht="20" customHeight="1">
      <x:c r="A109" s="68" t="str">
        <x:f t="shared" si="2"/>
      </x:c>
      <x:c r="B109" s="64"/>
      <x:c r="C109" s="68" t="str">
        <x:f>IF(B109="","",IFERROR(INDEX(Planos_Contratos!$B$4:$B$203,MATCH(B109,Planos_Contratos!$A$4:$A$203,0)),""))</x:f>
      </x:c>
      <x:c r="D109" s="68" t="str">
        <x:f>IF(B109="","",IFERROR(INDEX(Planos_Contratos!$C$4:$C$203,MATCH(B109,Planos_Contratos!$A$4:$A$203,0)),""))</x:f>
      </x:c>
      <x:c r="E109" s="72"/>
      <x:c r="F109" s="72"/>
      <x:c r="G109" s="92" t="str">
        <x:f>IF(B109="","",IFERROR(INDEX(Planos_Contratos!$L$4:$L$203,MATCH(B109,Planos_Contratos!$A$4:$A$203,0))/MAX(1,INDEX(Planos_Contratos!$M$4:$M$203,MATCH(B109,Planos_Contratos!$A$4:$A$203,0))),""))</x:f>
      </x:c>
      <x:c r="H109" s="112"/>
      <x:c r="I109" s="92" t="str">
        <x:f t="shared" si="3"/>
      </x:c>
      <x:c r="J109" s="68" t="str">
        <x:f>IF(B109="","",IFERROR(INDEX(Planos_Contratos!$I$4:$I$203,MATCH(B109,Planos_Contratos!$A$4:$A$203,0)),""))</x:f>
      </x:c>
      <x:c r="K109" s="70"/>
      <x:c r="L109" s="96" t="str">
        <x:f>IF(B109="","",IFERROR(INDEX(Planos_Contratos!$M$4:$M$203,MATCH(B109,Planos_Contratos!$A$4:$A$203,0)),""))</x:f>
      </x:c>
      <x:c r="M109" s="64"/>
    </x:row>
    <x:row r="110" ht="20" customHeight="1">
      <x:c r="A110" s="68" t="str">
        <x:f t="shared" si="2"/>
      </x:c>
      <x:c r="B110" s="64"/>
      <x:c r="C110" s="68" t="str">
        <x:f>IF(B110="","",IFERROR(INDEX(Planos_Contratos!$B$4:$B$203,MATCH(B110,Planos_Contratos!$A$4:$A$203,0)),""))</x:f>
      </x:c>
      <x:c r="D110" s="68" t="str">
        <x:f>IF(B110="","",IFERROR(INDEX(Planos_Contratos!$C$4:$C$203,MATCH(B110,Planos_Contratos!$A$4:$A$203,0)),""))</x:f>
      </x:c>
      <x:c r="E110" s="72"/>
      <x:c r="F110" s="72"/>
      <x:c r="G110" s="92" t="str">
        <x:f>IF(B110="","",IFERROR(INDEX(Planos_Contratos!$L$4:$L$203,MATCH(B110,Planos_Contratos!$A$4:$A$203,0))/MAX(1,INDEX(Planos_Contratos!$M$4:$M$203,MATCH(B110,Planos_Contratos!$A$4:$A$203,0))),""))</x:f>
      </x:c>
      <x:c r="H110" s="112"/>
      <x:c r="I110" s="92" t="str">
        <x:f t="shared" si="3"/>
      </x:c>
      <x:c r="J110" s="68" t="str">
        <x:f>IF(B110="","",IFERROR(INDEX(Planos_Contratos!$I$4:$I$203,MATCH(B110,Planos_Contratos!$A$4:$A$203,0)),""))</x:f>
      </x:c>
      <x:c r="K110" s="70"/>
      <x:c r="L110" s="96" t="str">
        <x:f>IF(B110="","",IFERROR(INDEX(Planos_Contratos!$M$4:$M$203,MATCH(B110,Planos_Contratos!$A$4:$A$203,0)),""))</x:f>
      </x:c>
      <x:c r="M110" s="64"/>
    </x:row>
    <x:row r="111" ht="20" customHeight="1">
      <x:c r="A111" s="68" t="str">
        <x:f t="shared" si="2"/>
      </x:c>
      <x:c r="B111" s="64"/>
      <x:c r="C111" s="68" t="str">
        <x:f>IF(B111="","",IFERROR(INDEX(Planos_Contratos!$B$4:$B$203,MATCH(B111,Planos_Contratos!$A$4:$A$203,0)),""))</x:f>
      </x:c>
      <x:c r="D111" s="68" t="str">
        <x:f>IF(B111="","",IFERROR(INDEX(Planos_Contratos!$C$4:$C$203,MATCH(B111,Planos_Contratos!$A$4:$A$203,0)),""))</x:f>
      </x:c>
      <x:c r="E111" s="72"/>
      <x:c r="F111" s="72"/>
      <x:c r="G111" s="92" t="str">
        <x:f>IF(B111="","",IFERROR(INDEX(Planos_Contratos!$L$4:$L$203,MATCH(B111,Planos_Contratos!$A$4:$A$203,0))/MAX(1,INDEX(Planos_Contratos!$M$4:$M$203,MATCH(B111,Planos_Contratos!$A$4:$A$203,0))),""))</x:f>
      </x:c>
      <x:c r="H111" s="112"/>
      <x:c r="I111" s="92" t="str">
        <x:f t="shared" si="3"/>
      </x:c>
      <x:c r="J111" s="68" t="str">
        <x:f>IF(B111="","",IFERROR(INDEX(Planos_Contratos!$I$4:$I$203,MATCH(B111,Planos_Contratos!$A$4:$A$203,0)),""))</x:f>
      </x:c>
      <x:c r="K111" s="70"/>
      <x:c r="L111" s="96" t="str">
        <x:f>IF(B111="","",IFERROR(INDEX(Planos_Contratos!$M$4:$M$203,MATCH(B111,Planos_Contratos!$A$4:$A$203,0)),""))</x:f>
      </x:c>
      <x:c r="M111" s="64"/>
    </x:row>
    <x:row r="112" ht="20" customHeight="1">
      <x:c r="A112" s="68" t="str">
        <x:f t="shared" si="2"/>
      </x:c>
      <x:c r="B112" s="64"/>
      <x:c r="C112" s="68" t="str">
        <x:f>IF(B112="","",IFERROR(INDEX(Planos_Contratos!$B$4:$B$203,MATCH(B112,Planos_Contratos!$A$4:$A$203,0)),""))</x:f>
      </x:c>
      <x:c r="D112" s="68" t="str">
        <x:f>IF(B112="","",IFERROR(INDEX(Planos_Contratos!$C$4:$C$203,MATCH(B112,Planos_Contratos!$A$4:$A$203,0)),""))</x:f>
      </x:c>
      <x:c r="E112" s="72"/>
      <x:c r="F112" s="72"/>
      <x:c r="G112" s="92" t="str">
        <x:f>IF(B112="","",IFERROR(INDEX(Planos_Contratos!$L$4:$L$203,MATCH(B112,Planos_Contratos!$A$4:$A$203,0))/MAX(1,INDEX(Planos_Contratos!$M$4:$M$203,MATCH(B112,Planos_Contratos!$A$4:$A$203,0))),""))</x:f>
      </x:c>
      <x:c r="H112" s="112"/>
      <x:c r="I112" s="92" t="str">
        <x:f t="shared" si="3"/>
      </x:c>
      <x:c r="J112" s="68" t="str">
        <x:f>IF(B112="","",IFERROR(INDEX(Planos_Contratos!$I$4:$I$203,MATCH(B112,Planos_Contratos!$A$4:$A$203,0)),""))</x:f>
      </x:c>
      <x:c r="K112" s="70"/>
      <x:c r="L112" s="96" t="str">
        <x:f>IF(B112="","",IFERROR(INDEX(Planos_Contratos!$M$4:$M$203,MATCH(B112,Planos_Contratos!$A$4:$A$203,0)),""))</x:f>
      </x:c>
      <x:c r="M112" s="64"/>
    </x:row>
    <x:row r="113" ht="20" customHeight="1">
      <x:c r="A113" s="68" t="str">
        <x:f t="shared" si="2"/>
      </x:c>
      <x:c r="B113" s="64"/>
      <x:c r="C113" s="68" t="str">
        <x:f>IF(B113="","",IFERROR(INDEX(Planos_Contratos!$B$4:$B$203,MATCH(B113,Planos_Contratos!$A$4:$A$203,0)),""))</x:f>
      </x:c>
      <x:c r="D113" s="68" t="str">
        <x:f>IF(B113="","",IFERROR(INDEX(Planos_Contratos!$C$4:$C$203,MATCH(B113,Planos_Contratos!$A$4:$A$203,0)),""))</x:f>
      </x:c>
      <x:c r="E113" s="72"/>
      <x:c r="F113" s="72"/>
      <x:c r="G113" s="92" t="str">
        <x:f>IF(B113="","",IFERROR(INDEX(Planos_Contratos!$L$4:$L$203,MATCH(B113,Planos_Contratos!$A$4:$A$203,0))/MAX(1,INDEX(Planos_Contratos!$M$4:$M$203,MATCH(B113,Planos_Contratos!$A$4:$A$203,0))),""))</x:f>
      </x:c>
      <x:c r="H113" s="112"/>
      <x:c r="I113" s="92" t="str">
        <x:f t="shared" si="3"/>
      </x:c>
      <x:c r="J113" s="68" t="str">
        <x:f>IF(B113="","",IFERROR(INDEX(Planos_Contratos!$I$4:$I$203,MATCH(B113,Planos_Contratos!$A$4:$A$203,0)),""))</x:f>
      </x:c>
      <x:c r="K113" s="70"/>
      <x:c r="L113" s="96" t="str">
        <x:f>IF(B113="","",IFERROR(INDEX(Planos_Contratos!$M$4:$M$203,MATCH(B113,Planos_Contratos!$A$4:$A$203,0)),""))</x:f>
      </x:c>
      <x:c r="M113" s="64"/>
    </x:row>
    <x:row r="114" ht="20" customHeight="1">
      <x:c r="A114" s="68" t="str">
        <x:f t="shared" si="2"/>
      </x:c>
      <x:c r="B114" s="64"/>
      <x:c r="C114" s="68" t="str">
        <x:f>IF(B114="","",IFERROR(INDEX(Planos_Contratos!$B$4:$B$203,MATCH(B114,Planos_Contratos!$A$4:$A$203,0)),""))</x:f>
      </x:c>
      <x:c r="D114" s="68" t="str">
        <x:f>IF(B114="","",IFERROR(INDEX(Planos_Contratos!$C$4:$C$203,MATCH(B114,Planos_Contratos!$A$4:$A$203,0)),""))</x:f>
      </x:c>
      <x:c r="E114" s="72"/>
      <x:c r="F114" s="72"/>
      <x:c r="G114" s="92" t="str">
        <x:f>IF(B114="","",IFERROR(INDEX(Planos_Contratos!$L$4:$L$203,MATCH(B114,Planos_Contratos!$A$4:$A$203,0))/MAX(1,INDEX(Planos_Contratos!$M$4:$M$203,MATCH(B114,Planos_Contratos!$A$4:$A$203,0))),""))</x:f>
      </x:c>
      <x:c r="H114" s="112"/>
      <x:c r="I114" s="92" t="str">
        <x:f t="shared" si="3"/>
      </x:c>
      <x:c r="J114" s="68" t="str">
        <x:f>IF(B114="","",IFERROR(INDEX(Planos_Contratos!$I$4:$I$203,MATCH(B114,Planos_Contratos!$A$4:$A$203,0)),""))</x:f>
      </x:c>
      <x:c r="K114" s="70"/>
      <x:c r="L114" s="96" t="str">
        <x:f>IF(B114="","",IFERROR(INDEX(Planos_Contratos!$M$4:$M$203,MATCH(B114,Planos_Contratos!$A$4:$A$203,0)),""))</x:f>
      </x:c>
      <x:c r="M114" s="64"/>
    </x:row>
    <x:row r="115" ht="20" customHeight="1">
      <x:c r="A115" s="68" t="str">
        <x:f t="shared" si="2"/>
      </x:c>
      <x:c r="B115" s="64"/>
      <x:c r="C115" s="68" t="str">
        <x:f>IF(B115="","",IFERROR(INDEX(Planos_Contratos!$B$4:$B$203,MATCH(B115,Planos_Contratos!$A$4:$A$203,0)),""))</x:f>
      </x:c>
      <x:c r="D115" s="68" t="str">
        <x:f>IF(B115="","",IFERROR(INDEX(Planos_Contratos!$C$4:$C$203,MATCH(B115,Planos_Contratos!$A$4:$A$203,0)),""))</x:f>
      </x:c>
      <x:c r="E115" s="72"/>
      <x:c r="F115" s="72"/>
      <x:c r="G115" s="92" t="str">
        <x:f>IF(B115="","",IFERROR(INDEX(Planos_Contratos!$L$4:$L$203,MATCH(B115,Planos_Contratos!$A$4:$A$203,0))/MAX(1,INDEX(Planos_Contratos!$M$4:$M$203,MATCH(B115,Planos_Contratos!$A$4:$A$203,0))),""))</x:f>
      </x:c>
      <x:c r="H115" s="112"/>
      <x:c r="I115" s="92" t="str">
        <x:f t="shared" si="3"/>
      </x:c>
      <x:c r="J115" s="68" t="str">
        <x:f>IF(B115="","",IFERROR(INDEX(Planos_Contratos!$I$4:$I$203,MATCH(B115,Planos_Contratos!$A$4:$A$203,0)),""))</x:f>
      </x:c>
      <x:c r="K115" s="70"/>
      <x:c r="L115" s="96" t="str">
        <x:f>IF(B115="","",IFERROR(INDEX(Planos_Contratos!$M$4:$M$203,MATCH(B115,Planos_Contratos!$A$4:$A$203,0)),""))</x:f>
      </x:c>
      <x:c r="M115" s="64"/>
    </x:row>
    <x:row r="116" ht="20" customHeight="1">
      <x:c r="A116" s="68" t="str">
        <x:f t="shared" si="2"/>
      </x:c>
      <x:c r="B116" s="64"/>
      <x:c r="C116" s="68" t="str">
        <x:f>IF(B116="","",IFERROR(INDEX(Planos_Contratos!$B$4:$B$203,MATCH(B116,Planos_Contratos!$A$4:$A$203,0)),""))</x:f>
      </x:c>
      <x:c r="D116" s="68" t="str">
        <x:f>IF(B116="","",IFERROR(INDEX(Planos_Contratos!$C$4:$C$203,MATCH(B116,Planos_Contratos!$A$4:$A$203,0)),""))</x:f>
      </x:c>
      <x:c r="E116" s="72"/>
      <x:c r="F116" s="72"/>
      <x:c r="G116" s="92" t="str">
        <x:f>IF(B116="","",IFERROR(INDEX(Planos_Contratos!$L$4:$L$203,MATCH(B116,Planos_Contratos!$A$4:$A$203,0))/MAX(1,INDEX(Planos_Contratos!$M$4:$M$203,MATCH(B116,Planos_Contratos!$A$4:$A$203,0))),""))</x:f>
      </x:c>
      <x:c r="H116" s="112"/>
      <x:c r="I116" s="92" t="str">
        <x:f t="shared" si="3"/>
      </x:c>
      <x:c r="J116" s="68" t="str">
        <x:f>IF(B116="","",IFERROR(INDEX(Planos_Contratos!$I$4:$I$203,MATCH(B116,Planos_Contratos!$A$4:$A$203,0)),""))</x:f>
      </x:c>
      <x:c r="K116" s="70"/>
      <x:c r="L116" s="96" t="str">
        <x:f>IF(B116="","",IFERROR(INDEX(Planos_Contratos!$M$4:$M$203,MATCH(B116,Planos_Contratos!$A$4:$A$203,0)),""))</x:f>
      </x:c>
      <x:c r="M116" s="64"/>
    </x:row>
    <x:row r="117" ht="20" customHeight="1">
      <x:c r="A117" s="68" t="str">
        <x:f t="shared" si="2"/>
      </x:c>
      <x:c r="B117" s="64"/>
      <x:c r="C117" s="68" t="str">
        <x:f>IF(B117="","",IFERROR(INDEX(Planos_Contratos!$B$4:$B$203,MATCH(B117,Planos_Contratos!$A$4:$A$203,0)),""))</x:f>
      </x:c>
      <x:c r="D117" s="68" t="str">
        <x:f>IF(B117="","",IFERROR(INDEX(Planos_Contratos!$C$4:$C$203,MATCH(B117,Planos_Contratos!$A$4:$A$203,0)),""))</x:f>
      </x:c>
      <x:c r="E117" s="72"/>
      <x:c r="F117" s="72"/>
      <x:c r="G117" s="92" t="str">
        <x:f>IF(B117="","",IFERROR(INDEX(Planos_Contratos!$L$4:$L$203,MATCH(B117,Planos_Contratos!$A$4:$A$203,0))/MAX(1,INDEX(Planos_Contratos!$M$4:$M$203,MATCH(B117,Planos_Contratos!$A$4:$A$203,0))),""))</x:f>
      </x:c>
      <x:c r="H117" s="112"/>
      <x:c r="I117" s="92" t="str">
        <x:f t="shared" si="3"/>
      </x:c>
      <x:c r="J117" s="68" t="str">
        <x:f>IF(B117="","",IFERROR(INDEX(Planos_Contratos!$I$4:$I$203,MATCH(B117,Planos_Contratos!$A$4:$A$203,0)),""))</x:f>
      </x:c>
      <x:c r="K117" s="70"/>
      <x:c r="L117" s="96" t="str">
        <x:f>IF(B117="","",IFERROR(INDEX(Planos_Contratos!$M$4:$M$203,MATCH(B117,Planos_Contratos!$A$4:$A$203,0)),""))</x:f>
      </x:c>
      <x:c r="M117" s="64"/>
    </x:row>
    <x:row r="118" ht="20" customHeight="1">
      <x:c r="A118" s="68" t="str">
        <x:f t="shared" si="2"/>
      </x:c>
      <x:c r="B118" s="64"/>
      <x:c r="C118" s="68" t="str">
        <x:f>IF(B118="","",IFERROR(INDEX(Planos_Contratos!$B$4:$B$203,MATCH(B118,Planos_Contratos!$A$4:$A$203,0)),""))</x:f>
      </x:c>
      <x:c r="D118" s="68" t="str">
        <x:f>IF(B118="","",IFERROR(INDEX(Planos_Contratos!$C$4:$C$203,MATCH(B118,Planos_Contratos!$A$4:$A$203,0)),""))</x:f>
      </x:c>
      <x:c r="E118" s="72"/>
      <x:c r="F118" s="72"/>
      <x:c r="G118" s="92" t="str">
        <x:f>IF(B118="","",IFERROR(INDEX(Planos_Contratos!$L$4:$L$203,MATCH(B118,Planos_Contratos!$A$4:$A$203,0))/MAX(1,INDEX(Planos_Contratos!$M$4:$M$203,MATCH(B118,Planos_Contratos!$A$4:$A$203,0))),""))</x:f>
      </x:c>
      <x:c r="H118" s="112"/>
      <x:c r="I118" s="92" t="str">
        <x:f t="shared" si="3"/>
      </x:c>
      <x:c r="J118" s="68" t="str">
        <x:f>IF(B118="","",IFERROR(INDEX(Planos_Contratos!$I$4:$I$203,MATCH(B118,Planos_Contratos!$A$4:$A$203,0)),""))</x:f>
      </x:c>
      <x:c r="K118" s="70"/>
      <x:c r="L118" s="96" t="str">
        <x:f>IF(B118="","",IFERROR(INDEX(Planos_Contratos!$M$4:$M$203,MATCH(B118,Planos_Contratos!$A$4:$A$203,0)),""))</x:f>
      </x:c>
      <x:c r="M118" s="64"/>
    </x:row>
    <x:row r="119" ht="20" customHeight="1">
      <x:c r="A119" s="68" t="str">
        <x:f t="shared" si="2"/>
      </x:c>
      <x:c r="B119" s="64"/>
      <x:c r="C119" s="68" t="str">
        <x:f>IF(B119="","",IFERROR(INDEX(Planos_Contratos!$B$4:$B$203,MATCH(B119,Planos_Contratos!$A$4:$A$203,0)),""))</x:f>
      </x:c>
      <x:c r="D119" s="68" t="str">
        <x:f>IF(B119="","",IFERROR(INDEX(Planos_Contratos!$C$4:$C$203,MATCH(B119,Planos_Contratos!$A$4:$A$203,0)),""))</x:f>
      </x:c>
      <x:c r="E119" s="72"/>
      <x:c r="F119" s="72"/>
      <x:c r="G119" s="92" t="str">
        <x:f>IF(B119="","",IFERROR(INDEX(Planos_Contratos!$L$4:$L$203,MATCH(B119,Planos_Contratos!$A$4:$A$203,0))/MAX(1,INDEX(Planos_Contratos!$M$4:$M$203,MATCH(B119,Planos_Contratos!$A$4:$A$203,0))),""))</x:f>
      </x:c>
      <x:c r="H119" s="112"/>
      <x:c r="I119" s="92" t="str">
        <x:f t="shared" si="3"/>
      </x:c>
      <x:c r="J119" s="68" t="str">
        <x:f>IF(B119="","",IFERROR(INDEX(Planos_Contratos!$I$4:$I$203,MATCH(B119,Planos_Contratos!$A$4:$A$203,0)),""))</x:f>
      </x:c>
      <x:c r="K119" s="70"/>
      <x:c r="L119" s="96" t="str">
        <x:f>IF(B119="","",IFERROR(INDEX(Planos_Contratos!$M$4:$M$203,MATCH(B119,Planos_Contratos!$A$4:$A$203,0)),""))</x:f>
      </x:c>
      <x:c r="M119" s="64"/>
    </x:row>
    <x:row r="120" ht="20" customHeight="1">
      <x:c r="A120" s="68" t="str">
        <x:f t="shared" si="2"/>
      </x:c>
      <x:c r="B120" s="64"/>
      <x:c r="C120" s="68" t="str">
        <x:f>IF(B120="","",IFERROR(INDEX(Planos_Contratos!$B$4:$B$203,MATCH(B120,Planos_Contratos!$A$4:$A$203,0)),""))</x:f>
      </x:c>
      <x:c r="D120" s="68" t="str">
        <x:f>IF(B120="","",IFERROR(INDEX(Planos_Contratos!$C$4:$C$203,MATCH(B120,Planos_Contratos!$A$4:$A$203,0)),""))</x:f>
      </x:c>
      <x:c r="E120" s="72"/>
      <x:c r="F120" s="72"/>
      <x:c r="G120" s="92" t="str">
        <x:f>IF(B120="","",IFERROR(INDEX(Planos_Contratos!$L$4:$L$203,MATCH(B120,Planos_Contratos!$A$4:$A$203,0))/MAX(1,INDEX(Planos_Contratos!$M$4:$M$203,MATCH(B120,Planos_Contratos!$A$4:$A$203,0))),""))</x:f>
      </x:c>
      <x:c r="H120" s="112"/>
      <x:c r="I120" s="92" t="str">
        <x:f t="shared" si="3"/>
      </x:c>
      <x:c r="J120" s="68" t="str">
        <x:f>IF(B120="","",IFERROR(INDEX(Planos_Contratos!$I$4:$I$203,MATCH(B120,Planos_Contratos!$A$4:$A$203,0)),""))</x:f>
      </x:c>
      <x:c r="K120" s="70"/>
      <x:c r="L120" s="96" t="str">
        <x:f>IF(B120="","",IFERROR(INDEX(Planos_Contratos!$M$4:$M$203,MATCH(B120,Planos_Contratos!$A$4:$A$203,0)),""))</x:f>
      </x:c>
      <x:c r="M120" s="64"/>
    </x:row>
    <x:row r="121" ht="20" customHeight="1">
      <x:c r="A121" s="68" t="str">
        <x:f t="shared" si="2"/>
      </x:c>
      <x:c r="B121" s="64"/>
      <x:c r="C121" s="68" t="str">
        <x:f>IF(B121="","",IFERROR(INDEX(Planos_Contratos!$B$4:$B$203,MATCH(B121,Planos_Contratos!$A$4:$A$203,0)),""))</x:f>
      </x:c>
      <x:c r="D121" s="68" t="str">
        <x:f>IF(B121="","",IFERROR(INDEX(Planos_Contratos!$C$4:$C$203,MATCH(B121,Planos_Contratos!$A$4:$A$203,0)),""))</x:f>
      </x:c>
      <x:c r="E121" s="72"/>
      <x:c r="F121" s="72"/>
      <x:c r="G121" s="92" t="str">
        <x:f>IF(B121="","",IFERROR(INDEX(Planos_Contratos!$L$4:$L$203,MATCH(B121,Planos_Contratos!$A$4:$A$203,0))/MAX(1,INDEX(Planos_Contratos!$M$4:$M$203,MATCH(B121,Planos_Contratos!$A$4:$A$203,0))),""))</x:f>
      </x:c>
      <x:c r="H121" s="112"/>
      <x:c r="I121" s="92" t="str">
        <x:f t="shared" si="3"/>
      </x:c>
      <x:c r="J121" s="68" t="str">
        <x:f>IF(B121="","",IFERROR(INDEX(Planos_Contratos!$I$4:$I$203,MATCH(B121,Planos_Contratos!$A$4:$A$203,0)),""))</x:f>
      </x:c>
      <x:c r="K121" s="70"/>
      <x:c r="L121" s="96" t="str">
        <x:f>IF(B121="","",IFERROR(INDEX(Planos_Contratos!$M$4:$M$203,MATCH(B121,Planos_Contratos!$A$4:$A$203,0)),""))</x:f>
      </x:c>
      <x:c r="M121" s="64"/>
    </x:row>
    <x:row r="122" ht="20" customHeight="1">
      <x:c r="A122" s="68" t="str">
        <x:f t="shared" si="2"/>
      </x:c>
      <x:c r="B122" s="64"/>
      <x:c r="C122" s="68" t="str">
        <x:f>IF(B122="","",IFERROR(INDEX(Planos_Contratos!$B$4:$B$203,MATCH(B122,Planos_Contratos!$A$4:$A$203,0)),""))</x:f>
      </x:c>
      <x:c r="D122" s="68" t="str">
        <x:f>IF(B122="","",IFERROR(INDEX(Planos_Contratos!$C$4:$C$203,MATCH(B122,Planos_Contratos!$A$4:$A$203,0)),""))</x:f>
      </x:c>
      <x:c r="E122" s="72"/>
      <x:c r="F122" s="72"/>
      <x:c r="G122" s="92" t="str">
        <x:f>IF(B122="","",IFERROR(INDEX(Planos_Contratos!$L$4:$L$203,MATCH(B122,Planos_Contratos!$A$4:$A$203,0))/MAX(1,INDEX(Planos_Contratos!$M$4:$M$203,MATCH(B122,Planos_Contratos!$A$4:$A$203,0))),""))</x:f>
      </x:c>
      <x:c r="H122" s="112"/>
      <x:c r="I122" s="92" t="str">
        <x:f t="shared" si="3"/>
      </x:c>
      <x:c r="J122" s="68" t="str">
        <x:f>IF(B122="","",IFERROR(INDEX(Planos_Contratos!$I$4:$I$203,MATCH(B122,Planos_Contratos!$A$4:$A$203,0)),""))</x:f>
      </x:c>
      <x:c r="K122" s="70"/>
      <x:c r="L122" s="96" t="str">
        <x:f>IF(B122="","",IFERROR(INDEX(Planos_Contratos!$M$4:$M$203,MATCH(B122,Planos_Contratos!$A$4:$A$203,0)),""))</x:f>
      </x:c>
      <x:c r="M122" s="64"/>
    </x:row>
    <x:row r="123" ht="20" customHeight="1">
      <x:c r="A123" s="68" t="str">
        <x:f t="shared" si="2"/>
      </x:c>
      <x:c r="B123" s="64"/>
      <x:c r="C123" s="68" t="str">
        <x:f>IF(B123="","",IFERROR(INDEX(Planos_Contratos!$B$4:$B$203,MATCH(B123,Planos_Contratos!$A$4:$A$203,0)),""))</x:f>
      </x:c>
      <x:c r="D123" s="68" t="str">
        <x:f>IF(B123="","",IFERROR(INDEX(Planos_Contratos!$C$4:$C$203,MATCH(B123,Planos_Contratos!$A$4:$A$203,0)),""))</x:f>
      </x:c>
      <x:c r="E123" s="72"/>
      <x:c r="F123" s="72"/>
      <x:c r="G123" s="92" t="str">
        <x:f>IF(B123="","",IFERROR(INDEX(Planos_Contratos!$L$4:$L$203,MATCH(B123,Planos_Contratos!$A$4:$A$203,0))/MAX(1,INDEX(Planos_Contratos!$M$4:$M$203,MATCH(B123,Planos_Contratos!$A$4:$A$203,0))),""))</x:f>
      </x:c>
      <x:c r="H123" s="112"/>
      <x:c r="I123" s="92" t="str">
        <x:f t="shared" si="3"/>
      </x:c>
      <x:c r="J123" s="68" t="str">
        <x:f>IF(B123="","",IFERROR(INDEX(Planos_Contratos!$I$4:$I$203,MATCH(B123,Planos_Contratos!$A$4:$A$203,0)),""))</x:f>
      </x:c>
      <x:c r="K123" s="70"/>
      <x:c r="L123" s="96" t="str">
        <x:f>IF(B123="","",IFERROR(INDEX(Planos_Contratos!$M$4:$M$203,MATCH(B123,Planos_Contratos!$A$4:$A$203,0)),""))</x:f>
      </x:c>
      <x:c r="M123" s="64"/>
    </x:row>
    <x:row r="124" ht="20" customHeight="1">
      <x:c r="A124" s="68" t="str">
        <x:f t="shared" si="2"/>
      </x:c>
      <x:c r="B124" s="64"/>
      <x:c r="C124" s="68" t="str">
        <x:f>IF(B124="","",IFERROR(INDEX(Planos_Contratos!$B$4:$B$203,MATCH(B124,Planos_Contratos!$A$4:$A$203,0)),""))</x:f>
      </x:c>
      <x:c r="D124" s="68" t="str">
        <x:f>IF(B124="","",IFERROR(INDEX(Planos_Contratos!$C$4:$C$203,MATCH(B124,Planos_Contratos!$A$4:$A$203,0)),""))</x:f>
      </x:c>
      <x:c r="E124" s="72"/>
      <x:c r="F124" s="72"/>
      <x:c r="G124" s="92" t="str">
        <x:f>IF(B124="","",IFERROR(INDEX(Planos_Contratos!$L$4:$L$203,MATCH(B124,Planos_Contratos!$A$4:$A$203,0))/MAX(1,INDEX(Planos_Contratos!$M$4:$M$203,MATCH(B124,Planos_Contratos!$A$4:$A$203,0))),""))</x:f>
      </x:c>
      <x:c r="H124" s="112"/>
      <x:c r="I124" s="92" t="str">
        <x:f t="shared" si="3"/>
      </x:c>
      <x:c r="J124" s="68" t="str">
        <x:f>IF(B124="","",IFERROR(INDEX(Planos_Contratos!$I$4:$I$203,MATCH(B124,Planos_Contratos!$A$4:$A$203,0)),""))</x:f>
      </x:c>
      <x:c r="K124" s="70"/>
      <x:c r="L124" s="96" t="str">
        <x:f>IF(B124="","",IFERROR(INDEX(Planos_Contratos!$M$4:$M$203,MATCH(B124,Planos_Contratos!$A$4:$A$203,0)),""))</x:f>
      </x:c>
      <x:c r="M124" s="64"/>
    </x:row>
    <x:row r="125" ht="20" customHeight="1">
      <x:c r="A125" s="68" t="str">
        <x:f t="shared" si="2"/>
      </x:c>
      <x:c r="B125" s="64"/>
      <x:c r="C125" s="68" t="str">
        <x:f>IF(B125="","",IFERROR(INDEX(Planos_Contratos!$B$4:$B$203,MATCH(B125,Planos_Contratos!$A$4:$A$203,0)),""))</x:f>
      </x:c>
      <x:c r="D125" s="68" t="str">
        <x:f>IF(B125="","",IFERROR(INDEX(Planos_Contratos!$C$4:$C$203,MATCH(B125,Planos_Contratos!$A$4:$A$203,0)),""))</x:f>
      </x:c>
      <x:c r="E125" s="72"/>
      <x:c r="F125" s="72"/>
      <x:c r="G125" s="92" t="str">
        <x:f>IF(B125="","",IFERROR(INDEX(Planos_Contratos!$L$4:$L$203,MATCH(B125,Planos_Contratos!$A$4:$A$203,0))/MAX(1,INDEX(Planos_Contratos!$M$4:$M$203,MATCH(B125,Planos_Contratos!$A$4:$A$203,0))),""))</x:f>
      </x:c>
      <x:c r="H125" s="112"/>
      <x:c r="I125" s="92" t="str">
        <x:f t="shared" si="3"/>
      </x:c>
      <x:c r="J125" s="68" t="str">
        <x:f>IF(B125="","",IFERROR(INDEX(Planos_Contratos!$I$4:$I$203,MATCH(B125,Planos_Contratos!$A$4:$A$203,0)),""))</x:f>
      </x:c>
      <x:c r="K125" s="70"/>
      <x:c r="L125" s="96" t="str">
        <x:f>IF(B125="","",IFERROR(INDEX(Planos_Contratos!$M$4:$M$203,MATCH(B125,Planos_Contratos!$A$4:$A$203,0)),""))</x:f>
      </x:c>
      <x:c r="M125" s="64"/>
    </x:row>
    <x:row r="126" ht="20" customHeight="1">
      <x:c r="A126" s="68" t="str">
        <x:f t="shared" si="2"/>
      </x:c>
      <x:c r="B126" s="64"/>
      <x:c r="C126" s="68" t="str">
        <x:f>IF(B126="","",IFERROR(INDEX(Planos_Contratos!$B$4:$B$203,MATCH(B126,Planos_Contratos!$A$4:$A$203,0)),""))</x:f>
      </x:c>
      <x:c r="D126" s="68" t="str">
        <x:f>IF(B126="","",IFERROR(INDEX(Planos_Contratos!$C$4:$C$203,MATCH(B126,Planos_Contratos!$A$4:$A$203,0)),""))</x:f>
      </x:c>
      <x:c r="E126" s="72"/>
      <x:c r="F126" s="72"/>
      <x:c r="G126" s="92" t="str">
        <x:f>IF(B126="","",IFERROR(INDEX(Planos_Contratos!$L$4:$L$203,MATCH(B126,Planos_Contratos!$A$4:$A$203,0))/MAX(1,INDEX(Planos_Contratos!$M$4:$M$203,MATCH(B126,Planos_Contratos!$A$4:$A$203,0))),""))</x:f>
      </x:c>
      <x:c r="H126" s="112"/>
      <x:c r="I126" s="92" t="str">
        <x:f t="shared" si="3"/>
      </x:c>
      <x:c r="J126" s="68" t="str">
        <x:f>IF(B126="","",IFERROR(INDEX(Planos_Contratos!$I$4:$I$203,MATCH(B126,Planos_Contratos!$A$4:$A$203,0)),""))</x:f>
      </x:c>
      <x:c r="K126" s="70"/>
      <x:c r="L126" s="96" t="str">
        <x:f>IF(B126="","",IFERROR(INDEX(Planos_Contratos!$M$4:$M$203,MATCH(B126,Planos_Contratos!$A$4:$A$203,0)),""))</x:f>
      </x:c>
      <x:c r="M126" s="64"/>
    </x:row>
    <x:row r="127" ht="20" customHeight="1">
      <x:c r="A127" s="68" t="str">
        <x:f t="shared" si="2"/>
      </x:c>
      <x:c r="B127" s="64"/>
      <x:c r="C127" s="68" t="str">
        <x:f>IF(B127="","",IFERROR(INDEX(Planos_Contratos!$B$4:$B$203,MATCH(B127,Planos_Contratos!$A$4:$A$203,0)),""))</x:f>
      </x:c>
      <x:c r="D127" s="68" t="str">
        <x:f>IF(B127="","",IFERROR(INDEX(Planos_Contratos!$C$4:$C$203,MATCH(B127,Planos_Contratos!$A$4:$A$203,0)),""))</x:f>
      </x:c>
      <x:c r="E127" s="72"/>
      <x:c r="F127" s="72"/>
      <x:c r="G127" s="92" t="str">
        <x:f>IF(B127="","",IFERROR(INDEX(Planos_Contratos!$L$4:$L$203,MATCH(B127,Planos_Contratos!$A$4:$A$203,0))/MAX(1,INDEX(Planos_Contratos!$M$4:$M$203,MATCH(B127,Planos_Contratos!$A$4:$A$203,0))),""))</x:f>
      </x:c>
      <x:c r="H127" s="112"/>
      <x:c r="I127" s="92" t="str">
        <x:f t="shared" si="3"/>
      </x:c>
      <x:c r="J127" s="68" t="str">
        <x:f>IF(B127="","",IFERROR(INDEX(Planos_Contratos!$I$4:$I$203,MATCH(B127,Planos_Contratos!$A$4:$A$203,0)),""))</x:f>
      </x:c>
      <x:c r="K127" s="70"/>
      <x:c r="L127" s="96" t="str">
        <x:f>IF(B127="","",IFERROR(INDEX(Planos_Contratos!$M$4:$M$203,MATCH(B127,Planos_Contratos!$A$4:$A$203,0)),""))</x:f>
      </x:c>
      <x:c r="M127" s="64"/>
    </x:row>
    <x:row r="128" ht="20" customHeight="1">
      <x:c r="A128" s="68" t="str">
        <x:f t="shared" si="2"/>
      </x:c>
      <x:c r="B128" s="64"/>
      <x:c r="C128" s="68" t="str">
        <x:f>IF(B128="","",IFERROR(INDEX(Planos_Contratos!$B$4:$B$203,MATCH(B128,Planos_Contratos!$A$4:$A$203,0)),""))</x:f>
      </x:c>
      <x:c r="D128" s="68" t="str">
        <x:f>IF(B128="","",IFERROR(INDEX(Planos_Contratos!$C$4:$C$203,MATCH(B128,Planos_Contratos!$A$4:$A$203,0)),""))</x:f>
      </x:c>
      <x:c r="E128" s="72"/>
      <x:c r="F128" s="72"/>
      <x:c r="G128" s="92" t="str">
        <x:f>IF(B128="","",IFERROR(INDEX(Planos_Contratos!$L$4:$L$203,MATCH(B128,Planos_Contratos!$A$4:$A$203,0))/MAX(1,INDEX(Planos_Contratos!$M$4:$M$203,MATCH(B128,Planos_Contratos!$A$4:$A$203,0))),""))</x:f>
      </x:c>
      <x:c r="H128" s="112"/>
      <x:c r="I128" s="92" t="str">
        <x:f t="shared" si="3"/>
      </x:c>
      <x:c r="J128" s="68" t="str">
        <x:f>IF(B128="","",IFERROR(INDEX(Planos_Contratos!$I$4:$I$203,MATCH(B128,Planos_Contratos!$A$4:$A$203,0)),""))</x:f>
      </x:c>
      <x:c r="K128" s="70"/>
      <x:c r="L128" s="96" t="str">
        <x:f>IF(B128="","",IFERROR(INDEX(Planos_Contratos!$M$4:$M$203,MATCH(B128,Planos_Contratos!$A$4:$A$203,0)),""))</x:f>
      </x:c>
      <x:c r="M128" s="64"/>
    </x:row>
    <x:row r="129" ht="20" customHeight="1">
      <x:c r="A129" s="68" t="str">
        <x:f t="shared" si="2"/>
      </x:c>
      <x:c r="B129" s="64"/>
      <x:c r="C129" s="68" t="str">
        <x:f>IF(B129="","",IFERROR(INDEX(Planos_Contratos!$B$4:$B$203,MATCH(B129,Planos_Contratos!$A$4:$A$203,0)),""))</x:f>
      </x:c>
      <x:c r="D129" s="68" t="str">
        <x:f>IF(B129="","",IFERROR(INDEX(Planos_Contratos!$C$4:$C$203,MATCH(B129,Planos_Contratos!$A$4:$A$203,0)),""))</x:f>
      </x:c>
      <x:c r="E129" s="72"/>
      <x:c r="F129" s="72"/>
      <x:c r="G129" s="92" t="str">
        <x:f>IF(B129="","",IFERROR(INDEX(Planos_Contratos!$L$4:$L$203,MATCH(B129,Planos_Contratos!$A$4:$A$203,0))/MAX(1,INDEX(Planos_Contratos!$M$4:$M$203,MATCH(B129,Planos_Contratos!$A$4:$A$203,0))),""))</x:f>
      </x:c>
      <x:c r="H129" s="112"/>
      <x:c r="I129" s="92" t="str">
        <x:f t="shared" si="3"/>
      </x:c>
      <x:c r="J129" s="68" t="str">
        <x:f>IF(B129="","",IFERROR(INDEX(Planos_Contratos!$I$4:$I$203,MATCH(B129,Planos_Contratos!$A$4:$A$203,0)),""))</x:f>
      </x:c>
      <x:c r="K129" s="70"/>
      <x:c r="L129" s="96" t="str">
        <x:f>IF(B129="","",IFERROR(INDEX(Planos_Contratos!$M$4:$M$203,MATCH(B129,Planos_Contratos!$A$4:$A$203,0)),""))</x:f>
      </x:c>
      <x:c r="M129" s="64"/>
    </x:row>
    <x:row r="130" ht="20" customHeight="1">
      <x:c r="A130" s="68" t="str">
        <x:f t="shared" si="2"/>
      </x:c>
      <x:c r="B130" s="64"/>
      <x:c r="C130" s="68" t="str">
        <x:f>IF(B130="","",IFERROR(INDEX(Planos_Contratos!$B$4:$B$203,MATCH(B130,Planos_Contratos!$A$4:$A$203,0)),""))</x:f>
      </x:c>
      <x:c r="D130" s="68" t="str">
        <x:f>IF(B130="","",IFERROR(INDEX(Planos_Contratos!$C$4:$C$203,MATCH(B130,Planos_Contratos!$A$4:$A$203,0)),""))</x:f>
      </x:c>
      <x:c r="E130" s="72"/>
      <x:c r="F130" s="72"/>
      <x:c r="G130" s="92" t="str">
        <x:f>IF(B130="","",IFERROR(INDEX(Planos_Contratos!$L$4:$L$203,MATCH(B130,Planos_Contratos!$A$4:$A$203,0))/MAX(1,INDEX(Planos_Contratos!$M$4:$M$203,MATCH(B130,Planos_Contratos!$A$4:$A$203,0))),""))</x:f>
      </x:c>
      <x:c r="H130" s="112"/>
      <x:c r="I130" s="92" t="str">
        <x:f t="shared" si="3"/>
      </x:c>
      <x:c r="J130" s="68" t="str">
        <x:f>IF(B130="","",IFERROR(INDEX(Planos_Contratos!$I$4:$I$203,MATCH(B130,Planos_Contratos!$A$4:$A$203,0)),""))</x:f>
      </x:c>
      <x:c r="K130" s="70"/>
      <x:c r="L130" s="96" t="str">
        <x:f>IF(B130="","",IFERROR(INDEX(Planos_Contratos!$M$4:$M$203,MATCH(B130,Planos_Contratos!$A$4:$A$203,0)),""))</x:f>
      </x:c>
      <x:c r="M130" s="64"/>
    </x:row>
    <x:row r="131" ht="20" customHeight="1">
      <x:c r="A131" s="68" t="str">
        <x:f t="shared" si="2"/>
      </x:c>
      <x:c r="B131" s="64"/>
      <x:c r="C131" s="68" t="str">
        <x:f>IF(B131="","",IFERROR(INDEX(Planos_Contratos!$B$4:$B$203,MATCH(B131,Planos_Contratos!$A$4:$A$203,0)),""))</x:f>
      </x:c>
      <x:c r="D131" s="68" t="str">
        <x:f>IF(B131="","",IFERROR(INDEX(Planos_Contratos!$C$4:$C$203,MATCH(B131,Planos_Contratos!$A$4:$A$203,0)),""))</x:f>
      </x:c>
      <x:c r="E131" s="72"/>
      <x:c r="F131" s="72"/>
      <x:c r="G131" s="92" t="str">
        <x:f>IF(B131="","",IFERROR(INDEX(Planos_Contratos!$L$4:$L$203,MATCH(B131,Planos_Contratos!$A$4:$A$203,0))/MAX(1,INDEX(Planos_Contratos!$M$4:$M$203,MATCH(B131,Planos_Contratos!$A$4:$A$203,0))),""))</x:f>
      </x:c>
      <x:c r="H131" s="112"/>
      <x:c r="I131" s="92" t="str">
        <x:f t="shared" si="3"/>
      </x:c>
      <x:c r="J131" s="68" t="str">
        <x:f>IF(B131="","",IFERROR(INDEX(Planos_Contratos!$I$4:$I$203,MATCH(B131,Planos_Contratos!$A$4:$A$203,0)),""))</x:f>
      </x:c>
      <x:c r="K131" s="70"/>
      <x:c r="L131" s="96" t="str">
        <x:f>IF(B131="","",IFERROR(INDEX(Planos_Contratos!$M$4:$M$203,MATCH(B131,Planos_Contratos!$A$4:$A$203,0)),""))</x:f>
      </x:c>
      <x:c r="M131" s="64"/>
    </x:row>
    <x:row r="132" ht="20" customHeight="1">
      <x:c r="A132" s="68" t="str">
        <x:f t="shared" ref="A132:A195" si="4">IF(B132="","",ROW()-3)</x:f>
      </x:c>
      <x:c r="B132" s="64"/>
      <x:c r="C132" s="68" t="str">
        <x:f>IF(B132="","",IFERROR(INDEX(Planos_Contratos!$B$4:$B$203,MATCH(B132,Planos_Contratos!$A$4:$A$203,0)),""))</x:f>
      </x:c>
      <x:c r="D132" s="68" t="str">
        <x:f>IF(B132="","",IFERROR(INDEX(Planos_Contratos!$C$4:$C$203,MATCH(B132,Planos_Contratos!$A$4:$A$203,0)),""))</x:f>
      </x:c>
      <x:c r="E132" s="72"/>
      <x:c r="F132" s="72"/>
      <x:c r="G132" s="92" t="str">
        <x:f>IF(B132="","",IFERROR(INDEX(Planos_Contratos!$L$4:$L$203,MATCH(B132,Planos_Contratos!$A$4:$A$203,0))/MAX(1,INDEX(Planos_Contratos!$M$4:$M$203,MATCH(B132,Planos_Contratos!$A$4:$A$203,0))),""))</x:f>
      </x:c>
      <x:c r="H132" s="112"/>
      <x:c r="I132" s="92" t="str">
        <x:f t="shared" ref="I132:I195" si="5">IF(G132="","",G132-H132)</x:f>
      </x:c>
      <x:c r="J132" s="68" t="str">
        <x:f>IF(B132="","",IFERROR(INDEX(Planos_Contratos!$I$4:$I$203,MATCH(B132,Planos_Contratos!$A$4:$A$203,0)),""))</x:f>
      </x:c>
      <x:c r="K132" s="70"/>
      <x:c r="L132" s="96" t="str">
        <x:f>IF(B132="","",IFERROR(INDEX(Planos_Contratos!$M$4:$M$203,MATCH(B132,Planos_Contratos!$A$4:$A$203,0)),""))</x:f>
      </x:c>
      <x:c r="M132" s="64"/>
    </x:row>
    <x:row r="133" ht="20" customHeight="1">
      <x:c r="A133" s="68" t="str">
        <x:f t="shared" si="4"/>
      </x:c>
      <x:c r="B133" s="64"/>
      <x:c r="C133" s="68" t="str">
        <x:f>IF(B133="","",IFERROR(INDEX(Planos_Contratos!$B$4:$B$203,MATCH(B133,Planos_Contratos!$A$4:$A$203,0)),""))</x:f>
      </x:c>
      <x:c r="D133" s="68" t="str">
        <x:f>IF(B133="","",IFERROR(INDEX(Planos_Contratos!$C$4:$C$203,MATCH(B133,Planos_Contratos!$A$4:$A$203,0)),""))</x:f>
      </x:c>
      <x:c r="E133" s="72"/>
      <x:c r="F133" s="72"/>
      <x:c r="G133" s="92" t="str">
        <x:f>IF(B133="","",IFERROR(INDEX(Planos_Contratos!$L$4:$L$203,MATCH(B133,Planos_Contratos!$A$4:$A$203,0))/MAX(1,INDEX(Planos_Contratos!$M$4:$M$203,MATCH(B133,Planos_Contratos!$A$4:$A$203,0))),""))</x:f>
      </x:c>
      <x:c r="H133" s="112"/>
      <x:c r="I133" s="92" t="str">
        <x:f t="shared" si="5"/>
      </x:c>
      <x:c r="J133" s="68" t="str">
        <x:f>IF(B133="","",IFERROR(INDEX(Planos_Contratos!$I$4:$I$203,MATCH(B133,Planos_Contratos!$A$4:$A$203,0)),""))</x:f>
      </x:c>
      <x:c r="K133" s="70"/>
      <x:c r="L133" s="96" t="str">
        <x:f>IF(B133="","",IFERROR(INDEX(Planos_Contratos!$M$4:$M$203,MATCH(B133,Planos_Contratos!$A$4:$A$203,0)),""))</x:f>
      </x:c>
      <x:c r="M133" s="64"/>
    </x:row>
    <x:row r="134" ht="20" customHeight="1">
      <x:c r="A134" s="68" t="str">
        <x:f t="shared" si="4"/>
      </x:c>
      <x:c r="B134" s="64"/>
      <x:c r="C134" s="68" t="str">
        <x:f>IF(B134="","",IFERROR(INDEX(Planos_Contratos!$B$4:$B$203,MATCH(B134,Planos_Contratos!$A$4:$A$203,0)),""))</x:f>
      </x:c>
      <x:c r="D134" s="68" t="str">
        <x:f>IF(B134="","",IFERROR(INDEX(Planos_Contratos!$C$4:$C$203,MATCH(B134,Planos_Contratos!$A$4:$A$203,0)),""))</x:f>
      </x:c>
      <x:c r="E134" s="72"/>
      <x:c r="F134" s="72"/>
      <x:c r="G134" s="92" t="str">
        <x:f>IF(B134="","",IFERROR(INDEX(Planos_Contratos!$L$4:$L$203,MATCH(B134,Planos_Contratos!$A$4:$A$203,0))/MAX(1,INDEX(Planos_Contratos!$M$4:$M$203,MATCH(B134,Planos_Contratos!$A$4:$A$203,0))),""))</x:f>
      </x:c>
      <x:c r="H134" s="112"/>
      <x:c r="I134" s="92" t="str">
        <x:f t="shared" si="5"/>
      </x:c>
      <x:c r="J134" s="68" t="str">
        <x:f>IF(B134="","",IFERROR(INDEX(Planos_Contratos!$I$4:$I$203,MATCH(B134,Planos_Contratos!$A$4:$A$203,0)),""))</x:f>
      </x:c>
      <x:c r="K134" s="70"/>
      <x:c r="L134" s="96" t="str">
        <x:f>IF(B134="","",IFERROR(INDEX(Planos_Contratos!$M$4:$M$203,MATCH(B134,Planos_Contratos!$A$4:$A$203,0)),""))</x:f>
      </x:c>
      <x:c r="M134" s="64"/>
    </x:row>
    <x:row r="135" ht="20" customHeight="1">
      <x:c r="A135" s="68" t="str">
        <x:f t="shared" si="4"/>
      </x:c>
      <x:c r="B135" s="64"/>
      <x:c r="C135" s="68" t="str">
        <x:f>IF(B135="","",IFERROR(INDEX(Planos_Contratos!$B$4:$B$203,MATCH(B135,Planos_Contratos!$A$4:$A$203,0)),""))</x:f>
      </x:c>
      <x:c r="D135" s="68" t="str">
        <x:f>IF(B135="","",IFERROR(INDEX(Planos_Contratos!$C$4:$C$203,MATCH(B135,Planos_Contratos!$A$4:$A$203,0)),""))</x:f>
      </x:c>
      <x:c r="E135" s="72"/>
      <x:c r="F135" s="72"/>
      <x:c r="G135" s="92" t="str">
        <x:f>IF(B135="","",IFERROR(INDEX(Planos_Contratos!$L$4:$L$203,MATCH(B135,Planos_Contratos!$A$4:$A$203,0))/MAX(1,INDEX(Planos_Contratos!$M$4:$M$203,MATCH(B135,Planos_Contratos!$A$4:$A$203,0))),""))</x:f>
      </x:c>
      <x:c r="H135" s="112"/>
      <x:c r="I135" s="92" t="str">
        <x:f t="shared" si="5"/>
      </x:c>
      <x:c r="J135" s="68" t="str">
        <x:f>IF(B135="","",IFERROR(INDEX(Planos_Contratos!$I$4:$I$203,MATCH(B135,Planos_Contratos!$A$4:$A$203,0)),""))</x:f>
      </x:c>
      <x:c r="K135" s="70"/>
      <x:c r="L135" s="96" t="str">
        <x:f>IF(B135="","",IFERROR(INDEX(Planos_Contratos!$M$4:$M$203,MATCH(B135,Planos_Contratos!$A$4:$A$203,0)),""))</x:f>
      </x:c>
      <x:c r="M135" s="64"/>
    </x:row>
    <x:row r="136" ht="20" customHeight="1">
      <x:c r="A136" s="68" t="str">
        <x:f t="shared" si="4"/>
      </x:c>
      <x:c r="B136" s="64"/>
      <x:c r="C136" s="68" t="str">
        <x:f>IF(B136="","",IFERROR(INDEX(Planos_Contratos!$B$4:$B$203,MATCH(B136,Planos_Contratos!$A$4:$A$203,0)),""))</x:f>
      </x:c>
      <x:c r="D136" s="68" t="str">
        <x:f>IF(B136="","",IFERROR(INDEX(Planos_Contratos!$C$4:$C$203,MATCH(B136,Planos_Contratos!$A$4:$A$203,0)),""))</x:f>
      </x:c>
      <x:c r="E136" s="72"/>
      <x:c r="F136" s="72"/>
      <x:c r="G136" s="92" t="str">
        <x:f>IF(B136="","",IFERROR(INDEX(Planos_Contratos!$L$4:$L$203,MATCH(B136,Planos_Contratos!$A$4:$A$203,0))/MAX(1,INDEX(Planos_Contratos!$M$4:$M$203,MATCH(B136,Planos_Contratos!$A$4:$A$203,0))),""))</x:f>
      </x:c>
      <x:c r="H136" s="112"/>
      <x:c r="I136" s="92" t="str">
        <x:f t="shared" si="5"/>
      </x:c>
      <x:c r="J136" s="68" t="str">
        <x:f>IF(B136="","",IFERROR(INDEX(Planos_Contratos!$I$4:$I$203,MATCH(B136,Planos_Contratos!$A$4:$A$203,0)),""))</x:f>
      </x:c>
      <x:c r="K136" s="70"/>
      <x:c r="L136" s="96" t="str">
        <x:f>IF(B136="","",IFERROR(INDEX(Planos_Contratos!$M$4:$M$203,MATCH(B136,Planos_Contratos!$A$4:$A$203,0)),""))</x:f>
      </x:c>
      <x:c r="M136" s="64"/>
    </x:row>
    <x:row r="137" ht="20" customHeight="1">
      <x:c r="A137" s="68" t="str">
        <x:f t="shared" si="4"/>
      </x:c>
      <x:c r="B137" s="64"/>
      <x:c r="C137" s="68" t="str">
        <x:f>IF(B137="","",IFERROR(INDEX(Planos_Contratos!$B$4:$B$203,MATCH(B137,Planos_Contratos!$A$4:$A$203,0)),""))</x:f>
      </x:c>
      <x:c r="D137" s="68" t="str">
        <x:f>IF(B137="","",IFERROR(INDEX(Planos_Contratos!$C$4:$C$203,MATCH(B137,Planos_Contratos!$A$4:$A$203,0)),""))</x:f>
      </x:c>
      <x:c r="E137" s="72"/>
      <x:c r="F137" s="72"/>
      <x:c r="G137" s="92" t="str">
        <x:f>IF(B137="","",IFERROR(INDEX(Planos_Contratos!$L$4:$L$203,MATCH(B137,Planos_Contratos!$A$4:$A$203,0))/MAX(1,INDEX(Planos_Contratos!$M$4:$M$203,MATCH(B137,Planos_Contratos!$A$4:$A$203,0))),""))</x:f>
      </x:c>
      <x:c r="H137" s="112"/>
      <x:c r="I137" s="92" t="str">
        <x:f t="shared" si="5"/>
      </x:c>
      <x:c r="J137" s="68" t="str">
        <x:f>IF(B137="","",IFERROR(INDEX(Planos_Contratos!$I$4:$I$203,MATCH(B137,Planos_Contratos!$A$4:$A$203,0)),""))</x:f>
      </x:c>
      <x:c r="K137" s="70"/>
      <x:c r="L137" s="96" t="str">
        <x:f>IF(B137="","",IFERROR(INDEX(Planos_Contratos!$M$4:$M$203,MATCH(B137,Planos_Contratos!$A$4:$A$203,0)),""))</x:f>
      </x:c>
      <x:c r="M137" s="64"/>
    </x:row>
    <x:row r="138" ht="20" customHeight="1">
      <x:c r="A138" s="68" t="str">
        <x:f t="shared" si="4"/>
      </x:c>
      <x:c r="B138" s="64"/>
      <x:c r="C138" s="68" t="str">
        <x:f>IF(B138="","",IFERROR(INDEX(Planos_Contratos!$B$4:$B$203,MATCH(B138,Planos_Contratos!$A$4:$A$203,0)),""))</x:f>
      </x:c>
      <x:c r="D138" s="68" t="str">
        <x:f>IF(B138="","",IFERROR(INDEX(Planos_Contratos!$C$4:$C$203,MATCH(B138,Planos_Contratos!$A$4:$A$203,0)),""))</x:f>
      </x:c>
      <x:c r="E138" s="72"/>
      <x:c r="F138" s="72"/>
      <x:c r="G138" s="92" t="str">
        <x:f>IF(B138="","",IFERROR(INDEX(Planos_Contratos!$L$4:$L$203,MATCH(B138,Planos_Contratos!$A$4:$A$203,0))/MAX(1,INDEX(Planos_Contratos!$M$4:$M$203,MATCH(B138,Planos_Contratos!$A$4:$A$203,0))),""))</x:f>
      </x:c>
      <x:c r="H138" s="112"/>
      <x:c r="I138" s="92" t="str">
        <x:f t="shared" si="5"/>
      </x:c>
      <x:c r="J138" s="68" t="str">
        <x:f>IF(B138="","",IFERROR(INDEX(Planos_Contratos!$I$4:$I$203,MATCH(B138,Planos_Contratos!$A$4:$A$203,0)),""))</x:f>
      </x:c>
      <x:c r="K138" s="70"/>
      <x:c r="L138" s="96" t="str">
        <x:f>IF(B138="","",IFERROR(INDEX(Planos_Contratos!$M$4:$M$203,MATCH(B138,Planos_Contratos!$A$4:$A$203,0)),""))</x:f>
      </x:c>
      <x:c r="M138" s="64"/>
    </x:row>
    <x:row r="139" ht="20" customHeight="1">
      <x:c r="A139" s="68" t="str">
        <x:f t="shared" si="4"/>
      </x:c>
      <x:c r="B139" s="64"/>
      <x:c r="C139" s="68" t="str">
        <x:f>IF(B139="","",IFERROR(INDEX(Planos_Contratos!$B$4:$B$203,MATCH(B139,Planos_Contratos!$A$4:$A$203,0)),""))</x:f>
      </x:c>
      <x:c r="D139" s="68" t="str">
        <x:f>IF(B139="","",IFERROR(INDEX(Planos_Contratos!$C$4:$C$203,MATCH(B139,Planos_Contratos!$A$4:$A$203,0)),""))</x:f>
      </x:c>
      <x:c r="E139" s="72"/>
      <x:c r="F139" s="72"/>
      <x:c r="G139" s="92" t="str">
        <x:f>IF(B139="","",IFERROR(INDEX(Planos_Contratos!$L$4:$L$203,MATCH(B139,Planos_Contratos!$A$4:$A$203,0))/MAX(1,INDEX(Planos_Contratos!$M$4:$M$203,MATCH(B139,Planos_Contratos!$A$4:$A$203,0))),""))</x:f>
      </x:c>
      <x:c r="H139" s="112"/>
      <x:c r="I139" s="92" t="str">
        <x:f t="shared" si="5"/>
      </x:c>
      <x:c r="J139" s="68" t="str">
        <x:f>IF(B139="","",IFERROR(INDEX(Planos_Contratos!$I$4:$I$203,MATCH(B139,Planos_Contratos!$A$4:$A$203,0)),""))</x:f>
      </x:c>
      <x:c r="K139" s="70"/>
      <x:c r="L139" s="96" t="str">
        <x:f>IF(B139="","",IFERROR(INDEX(Planos_Contratos!$M$4:$M$203,MATCH(B139,Planos_Contratos!$A$4:$A$203,0)),""))</x:f>
      </x:c>
      <x:c r="M139" s="64"/>
    </x:row>
    <x:row r="140" ht="20" customHeight="1">
      <x:c r="A140" s="68" t="str">
        <x:f t="shared" si="4"/>
      </x:c>
      <x:c r="B140" s="64"/>
      <x:c r="C140" s="68" t="str">
        <x:f>IF(B140="","",IFERROR(INDEX(Planos_Contratos!$B$4:$B$203,MATCH(B140,Planos_Contratos!$A$4:$A$203,0)),""))</x:f>
      </x:c>
      <x:c r="D140" s="68" t="str">
        <x:f>IF(B140="","",IFERROR(INDEX(Planos_Contratos!$C$4:$C$203,MATCH(B140,Planos_Contratos!$A$4:$A$203,0)),""))</x:f>
      </x:c>
      <x:c r="E140" s="72"/>
      <x:c r="F140" s="72"/>
      <x:c r="G140" s="92" t="str">
        <x:f>IF(B140="","",IFERROR(INDEX(Planos_Contratos!$L$4:$L$203,MATCH(B140,Planos_Contratos!$A$4:$A$203,0))/MAX(1,INDEX(Planos_Contratos!$M$4:$M$203,MATCH(B140,Planos_Contratos!$A$4:$A$203,0))),""))</x:f>
      </x:c>
      <x:c r="H140" s="112"/>
      <x:c r="I140" s="92" t="str">
        <x:f t="shared" si="5"/>
      </x:c>
      <x:c r="J140" s="68" t="str">
        <x:f>IF(B140="","",IFERROR(INDEX(Planos_Contratos!$I$4:$I$203,MATCH(B140,Planos_Contratos!$A$4:$A$203,0)),""))</x:f>
      </x:c>
      <x:c r="K140" s="70"/>
      <x:c r="L140" s="96" t="str">
        <x:f>IF(B140="","",IFERROR(INDEX(Planos_Contratos!$M$4:$M$203,MATCH(B140,Planos_Contratos!$A$4:$A$203,0)),""))</x:f>
      </x:c>
      <x:c r="M140" s="64"/>
    </x:row>
    <x:row r="141" ht="20" customHeight="1">
      <x:c r="A141" s="68" t="str">
        <x:f t="shared" si="4"/>
      </x:c>
      <x:c r="B141" s="64"/>
      <x:c r="C141" s="68" t="str">
        <x:f>IF(B141="","",IFERROR(INDEX(Planos_Contratos!$B$4:$B$203,MATCH(B141,Planos_Contratos!$A$4:$A$203,0)),""))</x:f>
      </x:c>
      <x:c r="D141" s="68" t="str">
        <x:f>IF(B141="","",IFERROR(INDEX(Planos_Contratos!$C$4:$C$203,MATCH(B141,Planos_Contratos!$A$4:$A$203,0)),""))</x:f>
      </x:c>
      <x:c r="E141" s="72"/>
      <x:c r="F141" s="72"/>
      <x:c r="G141" s="92" t="str">
        <x:f>IF(B141="","",IFERROR(INDEX(Planos_Contratos!$L$4:$L$203,MATCH(B141,Planos_Contratos!$A$4:$A$203,0))/MAX(1,INDEX(Planos_Contratos!$M$4:$M$203,MATCH(B141,Planos_Contratos!$A$4:$A$203,0))),""))</x:f>
      </x:c>
      <x:c r="H141" s="112"/>
      <x:c r="I141" s="92" t="str">
        <x:f t="shared" si="5"/>
      </x:c>
      <x:c r="J141" s="68" t="str">
        <x:f>IF(B141="","",IFERROR(INDEX(Planos_Contratos!$I$4:$I$203,MATCH(B141,Planos_Contratos!$A$4:$A$203,0)),""))</x:f>
      </x:c>
      <x:c r="K141" s="70"/>
      <x:c r="L141" s="96" t="str">
        <x:f>IF(B141="","",IFERROR(INDEX(Planos_Contratos!$M$4:$M$203,MATCH(B141,Planos_Contratos!$A$4:$A$203,0)),""))</x:f>
      </x:c>
      <x:c r="M141" s="64"/>
    </x:row>
    <x:row r="142" ht="20" customHeight="1">
      <x:c r="A142" s="68" t="str">
        <x:f t="shared" si="4"/>
      </x:c>
      <x:c r="B142" s="64"/>
      <x:c r="C142" s="68" t="str">
        <x:f>IF(B142="","",IFERROR(INDEX(Planos_Contratos!$B$4:$B$203,MATCH(B142,Planos_Contratos!$A$4:$A$203,0)),""))</x:f>
      </x:c>
      <x:c r="D142" s="68" t="str">
        <x:f>IF(B142="","",IFERROR(INDEX(Planos_Contratos!$C$4:$C$203,MATCH(B142,Planos_Contratos!$A$4:$A$203,0)),""))</x:f>
      </x:c>
      <x:c r="E142" s="72"/>
      <x:c r="F142" s="72"/>
      <x:c r="G142" s="92" t="str">
        <x:f>IF(B142="","",IFERROR(INDEX(Planos_Contratos!$L$4:$L$203,MATCH(B142,Planos_Contratos!$A$4:$A$203,0))/MAX(1,INDEX(Planos_Contratos!$M$4:$M$203,MATCH(B142,Planos_Contratos!$A$4:$A$203,0))),""))</x:f>
      </x:c>
      <x:c r="H142" s="112"/>
      <x:c r="I142" s="92" t="str">
        <x:f t="shared" si="5"/>
      </x:c>
      <x:c r="J142" s="68" t="str">
        <x:f>IF(B142="","",IFERROR(INDEX(Planos_Contratos!$I$4:$I$203,MATCH(B142,Planos_Contratos!$A$4:$A$203,0)),""))</x:f>
      </x:c>
      <x:c r="K142" s="70"/>
      <x:c r="L142" s="96" t="str">
        <x:f>IF(B142="","",IFERROR(INDEX(Planos_Contratos!$M$4:$M$203,MATCH(B142,Planos_Contratos!$A$4:$A$203,0)),""))</x:f>
      </x:c>
      <x:c r="M142" s="64"/>
    </x:row>
    <x:row r="143" ht="20" customHeight="1">
      <x:c r="A143" s="68" t="str">
        <x:f t="shared" si="4"/>
      </x:c>
      <x:c r="B143" s="64"/>
      <x:c r="C143" s="68" t="str">
        <x:f>IF(B143="","",IFERROR(INDEX(Planos_Contratos!$B$4:$B$203,MATCH(B143,Planos_Contratos!$A$4:$A$203,0)),""))</x:f>
      </x:c>
      <x:c r="D143" s="68" t="str">
        <x:f>IF(B143="","",IFERROR(INDEX(Planos_Contratos!$C$4:$C$203,MATCH(B143,Planos_Contratos!$A$4:$A$203,0)),""))</x:f>
      </x:c>
      <x:c r="E143" s="72"/>
      <x:c r="F143" s="72"/>
      <x:c r="G143" s="92" t="str">
        <x:f>IF(B143="","",IFERROR(INDEX(Planos_Contratos!$L$4:$L$203,MATCH(B143,Planos_Contratos!$A$4:$A$203,0))/MAX(1,INDEX(Planos_Contratos!$M$4:$M$203,MATCH(B143,Planos_Contratos!$A$4:$A$203,0))),""))</x:f>
      </x:c>
      <x:c r="H143" s="112"/>
      <x:c r="I143" s="92" t="str">
        <x:f t="shared" si="5"/>
      </x:c>
      <x:c r="J143" s="68" t="str">
        <x:f>IF(B143="","",IFERROR(INDEX(Planos_Contratos!$I$4:$I$203,MATCH(B143,Planos_Contratos!$A$4:$A$203,0)),""))</x:f>
      </x:c>
      <x:c r="K143" s="70"/>
      <x:c r="L143" s="96" t="str">
        <x:f>IF(B143="","",IFERROR(INDEX(Planos_Contratos!$M$4:$M$203,MATCH(B143,Planos_Contratos!$A$4:$A$203,0)),""))</x:f>
      </x:c>
      <x:c r="M143" s="64"/>
    </x:row>
    <x:row r="144" ht="20" customHeight="1">
      <x:c r="A144" s="68" t="str">
        <x:f t="shared" si="4"/>
      </x:c>
      <x:c r="B144" s="64"/>
      <x:c r="C144" s="68" t="str">
        <x:f>IF(B144="","",IFERROR(INDEX(Planos_Contratos!$B$4:$B$203,MATCH(B144,Planos_Contratos!$A$4:$A$203,0)),""))</x:f>
      </x:c>
      <x:c r="D144" s="68" t="str">
        <x:f>IF(B144="","",IFERROR(INDEX(Planos_Contratos!$C$4:$C$203,MATCH(B144,Planos_Contratos!$A$4:$A$203,0)),""))</x:f>
      </x:c>
      <x:c r="E144" s="72"/>
      <x:c r="F144" s="72"/>
      <x:c r="G144" s="92" t="str">
        <x:f>IF(B144="","",IFERROR(INDEX(Planos_Contratos!$L$4:$L$203,MATCH(B144,Planos_Contratos!$A$4:$A$203,0))/MAX(1,INDEX(Planos_Contratos!$M$4:$M$203,MATCH(B144,Planos_Contratos!$A$4:$A$203,0))),""))</x:f>
      </x:c>
      <x:c r="H144" s="112"/>
      <x:c r="I144" s="92" t="str">
        <x:f t="shared" si="5"/>
      </x:c>
      <x:c r="J144" s="68" t="str">
        <x:f>IF(B144="","",IFERROR(INDEX(Planos_Contratos!$I$4:$I$203,MATCH(B144,Planos_Contratos!$A$4:$A$203,0)),""))</x:f>
      </x:c>
      <x:c r="K144" s="70"/>
      <x:c r="L144" s="96" t="str">
        <x:f>IF(B144="","",IFERROR(INDEX(Planos_Contratos!$M$4:$M$203,MATCH(B144,Planos_Contratos!$A$4:$A$203,0)),""))</x:f>
      </x:c>
      <x:c r="M144" s="64"/>
    </x:row>
    <x:row r="145" ht="20" customHeight="1">
      <x:c r="A145" s="68" t="str">
        <x:f t="shared" si="4"/>
      </x:c>
      <x:c r="B145" s="64"/>
      <x:c r="C145" s="68" t="str">
        <x:f>IF(B145="","",IFERROR(INDEX(Planos_Contratos!$B$4:$B$203,MATCH(B145,Planos_Contratos!$A$4:$A$203,0)),""))</x:f>
      </x:c>
      <x:c r="D145" s="68" t="str">
        <x:f>IF(B145="","",IFERROR(INDEX(Planos_Contratos!$C$4:$C$203,MATCH(B145,Planos_Contratos!$A$4:$A$203,0)),""))</x:f>
      </x:c>
      <x:c r="E145" s="72"/>
      <x:c r="F145" s="72"/>
      <x:c r="G145" s="92" t="str">
        <x:f>IF(B145="","",IFERROR(INDEX(Planos_Contratos!$L$4:$L$203,MATCH(B145,Planos_Contratos!$A$4:$A$203,0))/MAX(1,INDEX(Planos_Contratos!$M$4:$M$203,MATCH(B145,Planos_Contratos!$A$4:$A$203,0))),""))</x:f>
      </x:c>
      <x:c r="H145" s="112"/>
      <x:c r="I145" s="92" t="str">
        <x:f t="shared" si="5"/>
      </x:c>
      <x:c r="J145" s="68" t="str">
        <x:f>IF(B145="","",IFERROR(INDEX(Planos_Contratos!$I$4:$I$203,MATCH(B145,Planos_Contratos!$A$4:$A$203,0)),""))</x:f>
      </x:c>
      <x:c r="K145" s="70"/>
      <x:c r="L145" s="96" t="str">
        <x:f>IF(B145="","",IFERROR(INDEX(Planos_Contratos!$M$4:$M$203,MATCH(B145,Planos_Contratos!$A$4:$A$203,0)),""))</x:f>
      </x:c>
      <x:c r="M145" s="64"/>
    </x:row>
    <x:row r="146" ht="20" customHeight="1">
      <x:c r="A146" s="68" t="str">
        <x:f t="shared" si="4"/>
      </x:c>
      <x:c r="B146" s="64"/>
      <x:c r="C146" s="68" t="str">
        <x:f>IF(B146="","",IFERROR(INDEX(Planos_Contratos!$B$4:$B$203,MATCH(B146,Planos_Contratos!$A$4:$A$203,0)),""))</x:f>
      </x:c>
      <x:c r="D146" s="68" t="str">
        <x:f>IF(B146="","",IFERROR(INDEX(Planos_Contratos!$C$4:$C$203,MATCH(B146,Planos_Contratos!$A$4:$A$203,0)),""))</x:f>
      </x:c>
      <x:c r="E146" s="72"/>
      <x:c r="F146" s="72"/>
      <x:c r="G146" s="92" t="str">
        <x:f>IF(B146="","",IFERROR(INDEX(Planos_Contratos!$L$4:$L$203,MATCH(B146,Planos_Contratos!$A$4:$A$203,0))/MAX(1,INDEX(Planos_Contratos!$M$4:$M$203,MATCH(B146,Planos_Contratos!$A$4:$A$203,0))),""))</x:f>
      </x:c>
      <x:c r="H146" s="112"/>
      <x:c r="I146" s="92" t="str">
        <x:f t="shared" si="5"/>
      </x:c>
      <x:c r="J146" s="68" t="str">
        <x:f>IF(B146="","",IFERROR(INDEX(Planos_Contratos!$I$4:$I$203,MATCH(B146,Planos_Contratos!$A$4:$A$203,0)),""))</x:f>
      </x:c>
      <x:c r="K146" s="70"/>
      <x:c r="L146" s="96" t="str">
        <x:f>IF(B146="","",IFERROR(INDEX(Planos_Contratos!$M$4:$M$203,MATCH(B146,Planos_Contratos!$A$4:$A$203,0)),""))</x:f>
      </x:c>
      <x:c r="M146" s="64"/>
    </x:row>
    <x:row r="147" ht="20" customHeight="1">
      <x:c r="A147" s="68" t="str">
        <x:f t="shared" si="4"/>
      </x:c>
      <x:c r="B147" s="64"/>
      <x:c r="C147" s="68" t="str">
        <x:f>IF(B147="","",IFERROR(INDEX(Planos_Contratos!$B$4:$B$203,MATCH(B147,Planos_Contratos!$A$4:$A$203,0)),""))</x:f>
      </x:c>
      <x:c r="D147" s="68" t="str">
        <x:f>IF(B147="","",IFERROR(INDEX(Planos_Contratos!$C$4:$C$203,MATCH(B147,Planos_Contratos!$A$4:$A$203,0)),""))</x:f>
      </x:c>
      <x:c r="E147" s="72"/>
      <x:c r="F147" s="72"/>
      <x:c r="G147" s="92" t="str">
        <x:f>IF(B147="","",IFERROR(INDEX(Planos_Contratos!$L$4:$L$203,MATCH(B147,Planos_Contratos!$A$4:$A$203,0))/MAX(1,INDEX(Planos_Contratos!$M$4:$M$203,MATCH(B147,Planos_Contratos!$A$4:$A$203,0))),""))</x:f>
      </x:c>
      <x:c r="H147" s="112"/>
      <x:c r="I147" s="92" t="str">
        <x:f t="shared" si="5"/>
      </x:c>
      <x:c r="J147" s="68" t="str">
        <x:f>IF(B147="","",IFERROR(INDEX(Planos_Contratos!$I$4:$I$203,MATCH(B147,Planos_Contratos!$A$4:$A$203,0)),""))</x:f>
      </x:c>
      <x:c r="K147" s="70"/>
      <x:c r="L147" s="96" t="str">
        <x:f>IF(B147="","",IFERROR(INDEX(Planos_Contratos!$M$4:$M$203,MATCH(B147,Planos_Contratos!$A$4:$A$203,0)),""))</x:f>
      </x:c>
      <x:c r="M147" s="64"/>
    </x:row>
    <x:row r="148" ht="20" customHeight="1">
      <x:c r="A148" s="68" t="str">
        <x:f t="shared" si="4"/>
      </x:c>
      <x:c r="B148" s="64"/>
      <x:c r="C148" s="68" t="str">
        <x:f>IF(B148="","",IFERROR(INDEX(Planos_Contratos!$B$4:$B$203,MATCH(B148,Planos_Contratos!$A$4:$A$203,0)),""))</x:f>
      </x:c>
      <x:c r="D148" s="68" t="str">
        <x:f>IF(B148="","",IFERROR(INDEX(Planos_Contratos!$C$4:$C$203,MATCH(B148,Planos_Contratos!$A$4:$A$203,0)),""))</x:f>
      </x:c>
      <x:c r="E148" s="72"/>
      <x:c r="F148" s="72"/>
      <x:c r="G148" s="92" t="str">
        <x:f>IF(B148="","",IFERROR(INDEX(Planos_Contratos!$L$4:$L$203,MATCH(B148,Planos_Contratos!$A$4:$A$203,0))/MAX(1,INDEX(Planos_Contratos!$M$4:$M$203,MATCH(B148,Planos_Contratos!$A$4:$A$203,0))),""))</x:f>
      </x:c>
      <x:c r="H148" s="112"/>
      <x:c r="I148" s="92" t="str">
        <x:f t="shared" si="5"/>
      </x:c>
      <x:c r="J148" s="68" t="str">
        <x:f>IF(B148="","",IFERROR(INDEX(Planos_Contratos!$I$4:$I$203,MATCH(B148,Planos_Contratos!$A$4:$A$203,0)),""))</x:f>
      </x:c>
      <x:c r="K148" s="70"/>
      <x:c r="L148" s="96" t="str">
        <x:f>IF(B148="","",IFERROR(INDEX(Planos_Contratos!$M$4:$M$203,MATCH(B148,Planos_Contratos!$A$4:$A$203,0)),""))</x:f>
      </x:c>
      <x:c r="M148" s="64"/>
    </x:row>
    <x:row r="149" ht="20" customHeight="1">
      <x:c r="A149" s="68" t="str">
        <x:f t="shared" si="4"/>
      </x:c>
      <x:c r="B149" s="64"/>
      <x:c r="C149" s="68" t="str">
        <x:f>IF(B149="","",IFERROR(INDEX(Planos_Contratos!$B$4:$B$203,MATCH(B149,Planos_Contratos!$A$4:$A$203,0)),""))</x:f>
      </x:c>
      <x:c r="D149" s="68" t="str">
        <x:f>IF(B149="","",IFERROR(INDEX(Planos_Contratos!$C$4:$C$203,MATCH(B149,Planos_Contratos!$A$4:$A$203,0)),""))</x:f>
      </x:c>
      <x:c r="E149" s="72"/>
      <x:c r="F149" s="72"/>
      <x:c r="G149" s="92" t="str">
        <x:f>IF(B149="","",IFERROR(INDEX(Planos_Contratos!$L$4:$L$203,MATCH(B149,Planos_Contratos!$A$4:$A$203,0))/MAX(1,INDEX(Planos_Contratos!$M$4:$M$203,MATCH(B149,Planos_Contratos!$A$4:$A$203,0))),""))</x:f>
      </x:c>
      <x:c r="H149" s="112"/>
      <x:c r="I149" s="92" t="str">
        <x:f t="shared" si="5"/>
      </x:c>
      <x:c r="J149" s="68" t="str">
        <x:f>IF(B149="","",IFERROR(INDEX(Planos_Contratos!$I$4:$I$203,MATCH(B149,Planos_Contratos!$A$4:$A$203,0)),""))</x:f>
      </x:c>
      <x:c r="K149" s="70"/>
      <x:c r="L149" s="96" t="str">
        <x:f>IF(B149="","",IFERROR(INDEX(Planos_Contratos!$M$4:$M$203,MATCH(B149,Planos_Contratos!$A$4:$A$203,0)),""))</x:f>
      </x:c>
      <x:c r="M149" s="64"/>
    </x:row>
    <x:row r="150" ht="20" customHeight="1">
      <x:c r="A150" s="68" t="str">
        <x:f t="shared" si="4"/>
      </x:c>
      <x:c r="B150" s="64"/>
      <x:c r="C150" s="68" t="str">
        <x:f>IF(B150="","",IFERROR(INDEX(Planos_Contratos!$B$4:$B$203,MATCH(B150,Planos_Contratos!$A$4:$A$203,0)),""))</x:f>
      </x:c>
      <x:c r="D150" s="68" t="str">
        <x:f>IF(B150="","",IFERROR(INDEX(Planos_Contratos!$C$4:$C$203,MATCH(B150,Planos_Contratos!$A$4:$A$203,0)),""))</x:f>
      </x:c>
      <x:c r="E150" s="72"/>
      <x:c r="F150" s="72"/>
      <x:c r="G150" s="92" t="str">
        <x:f>IF(B150="","",IFERROR(INDEX(Planos_Contratos!$L$4:$L$203,MATCH(B150,Planos_Contratos!$A$4:$A$203,0))/MAX(1,INDEX(Planos_Contratos!$M$4:$M$203,MATCH(B150,Planos_Contratos!$A$4:$A$203,0))),""))</x:f>
      </x:c>
      <x:c r="H150" s="112"/>
      <x:c r="I150" s="92" t="str">
        <x:f t="shared" si="5"/>
      </x:c>
      <x:c r="J150" s="68" t="str">
        <x:f>IF(B150="","",IFERROR(INDEX(Planos_Contratos!$I$4:$I$203,MATCH(B150,Planos_Contratos!$A$4:$A$203,0)),""))</x:f>
      </x:c>
      <x:c r="K150" s="70"/>
      <x:c r="L150" s="96" t="str">
        <x:f>IF(B150="","",IFERROR(INDEX(Planos_Contratos!$M$4:$M$203,MATCH(B150,Planos_Contratos!$A$4:$A$203,0)),""))</x:f>
      </x:c>
      <x:c r="M150" s="64"/>
    </x:row>
    <x:row r="151" ht="20" customHeight="1">
      <x:c r="A151" s="68" t="str">
        <x:f t="shared" si="4"/>
      </x:c>
      <x:c r="B151" s="64"/>
      <x:c r="C151" s="68" t="str">
        <x:f>IF(B151="","",IFERROR(INDEX(Planos_Contratos!$B$4:$B$203,MATCH(B151,Planos_Contratos!$A$4:$A$203,0)),""))</x:f>
      </x:c>
      <x:c r="D151" s="68" t="str">
        <x:f>IF(B151="","",IFERROR(INDEX(Planos_Contratos!$C$4:$C$203,MATCH(B151,Planos_Contratos!$A$4:$A$203,0)),""))</x:f>
      </x:c>
      <x:c r="E151" s="72"/>
      <x:c r="F151" s="72"/>
      <x:c r="G151" s="92" t="str">
        <x:f>IF(B151="","",IFERROR(INDEX(Planos_Contratos!$L$4:$L$203,MATCH(B151,Planos_Contratos!$A$4:$A$203,0))/MAX(1,INDEX(Planos_Contratos!$M$4:$M$203,MATCH(B151,Planos_Contratos!$A$4:$A$203,0))),""))</x:f>
      </x:c>
      <x:c r="H151" s="112"/>
      <x:c r="I151" s="92" t="str">
        <x:f t="shared" si="5"/>
      </x:c>
      <x:c r="J151" s="68" t="str">
        <x:f>IF(B151="","",IFERROR(INDEX(Planos_Contratos!$I$4:$I$203,MATCH(B151,Planos_Contratos!$A$4:$A$203,0)),""))</x:f>
      </x:c>
      <x:c r="K151" s="70"/>
      <x:c r="L151" s="96" t="str">
        <x:f>IF(B151="","",IFERROR(INDEX(Planos_Contratos!$M$4:$M$203,MATCH(B151,Planos_Contratos!$A$4:$A$203,0)),""))</x:f>
      </x:c>
      <x:c r="M151" s="64"/>
    </x:row>
    <x:row r="152" ht="20" customHeight="1">
      <x:c r="A152" s="68" t="str">
        <x:f t="shared" si="4"/>
      </x:c>
      <x:c r="B152" s="64"/>
      <x:c r="C152" s="68" t="str">
        <x:f>IF(B152="","",IFERROR(INDEX(Planos_Contratos!$B$4:$B$203,MATCH(B152,Planos_Contratos!$A$4:$A$203,0)),""))</x:f>
      </x:c>
      <x:c r="D152" s="68" t="str">
        <x:f>IF(B152="","",IFERROR(INDEX(Planos_Contratos!$C$4:$C$203,MATCH(B152,Planos_Contratos!$A$4:$A$203,0)),""))</x:f>
      </x:c>
      <x:c r="E152" s="72"/>
      <x:c r="F152" s="72"/>
      <x:c r="G152" s="92" t="str">
        <x:f>IF(B152="","",IFERROR(INDEX(Planos_Contratos!$L$4:$L$203,MATCH(B152,Planos_Contratos!$A$4:$A$203,0))/MAX(1,INDEX(Planos_Contratos!$M$4:$M$203,MATCH(B152,Planos_Contratos!$A$4:$A$203,0))),""))</x:f>
      </x:c>
      <x:c r="H152" s="112"/>
      <x:c r="I152" s="92" t="str">
        <x:f t="shared" si="5"/>
      </x:c>
      <x:c r="J152" s="68" t="str">
        <x:f>IF(B152="","",IFERROR(INDEX(Planos_Contratos!$I$4:$I$203,MATCH(B152,Planos_Contratos!$A$4:$A$203,0)),""))</x:f>
      </x:c>
      <x:c r="K152" s="70"/>
      <x:c r="L152" s="96" t="str">
        <x:f>IF(B152="","",IFERROR(INDEX(Planos_Contratos!$M$4:$M$203,MATCH(B152,Planos_Contratos!$A$4:$A$203,0)),""))</x:f>
      </x:c>
      <x:c r="M152" s="64"/>
    </x:row>
    <x:row r="153" ht="20" customHeight="1">
      <x:c r="A153" s="68" t="str">
        <x:f t="shared" si="4"/>
      </x:c>
      <x:c r="B153" s="64"/>
      <x:c r="C153" s="68" t="str">
        <x:f>IF(B153="","",IFERROR(INDEX(Planos_Contratos!$B$4:$B$203,MATCH(B153,Planos_Contratos!$A$4:$A$203,0)),""))</x:f>
      </x:c>
      <x:c r="D153" s="68" t="str">
        <x:f>IF(B153="","",IFERROR(INDEX(Planos_Contratos!$C$4:$C$203,MATCH(B153,Planos_Contratos!$A$4:$A$203,0)),""))</x:f>
      </x:c>
      <x:c r="E153" s="72"/>
      <x:c r="F153" s="72"/>
      <x:c r="G153" s="92" t="str">
        <x:f>IF(B153="","",IFERROR(INDEX(Planos_Contratos!$L$4:$L$203,MATCH(B153,Planos_Contratos!$A$4:$A$203,0))/MAX(1,INDEX(Planos_Contratos!$M$4:$M$203,MATCH(B153,Planos_Contratos!$A$4:$A$203,0))),""))</x:f>
      </x:c>
      <x:c r="H153" s="112"/>
      <x:c r="I153" s="92" t="str">
        <x:f t="shared" si="5"/>
      </x:c>
      <x:c r="J153" s="68" t="str">
        <x:f>IF(B153="","",IFERROR(INDEX(Planos_Contratos!$I$4:$I$203,MATCH(B153,Planos_Contratos!$A$4:$A$203,0)),""))</x:f>
      </x:c>
      <x:c r="K153" s="70"/>
      <x:c r="L153" s="96" t="str">
        <x:f>IF(B153="","",IFERROR(INDEX(Planos_Contratos!$M$4:$M$203,MATCH(B153,Planos_Contratos!$A$4:$A$203,0)),""))</x:f>
      </x:c>
      <x:c r="M153" s="64"/>
    </x:row>
    <x:row r="154" ht="20" customHeight="1">
      <x:c r="A154" s="68" t="str">
        <x:f t="shared" si="4"/>
      </x:c>
      <x:c r="B154" s="64"/>
      <x:c r="C154" s="68" t="str">
        <x:f>IF(B154="","",IFERROR(INDEX(Planos_Contratos!$B$4:$B$203,MATCH(B154,Planos_Contratos!$A$4:$A$203,0)),""))</x:f>
      </x:c>
      <x:c r="D154" s="68" t="str">
        <x:f>IF(B154="","",IFERROR(INDEX(Planos_Contratos!$C$4:$C$203,MATCH(B154,Planos_Contratos!$A$4:$A$203,0)),""))</x:f>
      </x:c>
      <x:c r="E154" s="72"/>
      <x:c r="F154" s="72"/>
      <x:c r="G154" s="92" t="str">
        <x:f>IF(B154="","",IFERROR(INDEX(Planos_Contratos!$L$4:$L$203,MATCH(B154,Planos_Contratos!$A$4:$A$203,0))/MAX(1,INDEX(Planos_Contratos!$M$4:$M$203,MATCH(B154,Planos_Contratos!$A$4:$A$203,0))),""))</x:f>
      </x:c>
      <x:c r="H154" s="112"/>
      <x:c r="I154" s="92" t="str">
        <x:f t="shared" si="5"/>
      </x:c>
      <x:c r="J154" s="68" t="str">
        <x:f>IF(B154="","",IFERROR(INDEX(Planos_Contratos!$I$4:$I$203,MATCH(B154,Planos_Contratos!$A$4:$A$203,0)),""))</x:f>
      </x:c>
      <x:c r="K154" s="70"/>
      <x:c r="L154" s="96" t="str">
        <x:f>IF(B154="","",IFERROR(INDEX(Planos_Contratos!$M$4:$M$203,MATCH(B154,Planos_Contratos!$A$4:$A$203,0)),""))</x:f>
      </x:c>
      <x:c r="M154" s="64"/>
    </x:row>
    <x:row r="155" ht="20" customHeight="1">
      <x:c r="A155" s="68" t="str">
        <x:f t="shared" si="4"/>
      </x:c>
      <x:c r="B155" s="64"/>
      <x:c r="C155" s="68" t="str">
        <x:f>IF(B155="","",IFERROR(INDEX(Planos_Contratos!$B$4:$B$203,MATCH(B155,Planos_Contratos!$A$4:$A$203,0)),""))</x:f>
      </x:c>
      <x:c r="D155" s="68" t="str">
        <x:f>IF(B155="","",IFERROR(INDEX(Planos_Contratos!$C$4:$C$203,MATCH(B155,Planos_Contratos!$A$4:$A$203,0)),""))</x:f>
      </x:c>
      <x:c r="E155" s="72"/>
      <x:c r="F155" s="72"/>
      <x:c r="G155" s="92" t="str">
        <x:f>IF(B155="","",IFERROR(INDEX(Planos_Contratos!$L$4:$L$203,MATCH(B155,Planos_Contratos!$A$4:$A$203,0))/MAX(1,INDEX(Planos_Contratos!$M$4:$M$203,MATCH(B155,Planos_Contratos!$A$4:$A$203,0))),""))</x:f>
      </x:c>
      <x:c r="H155" s="112"/>
      <x:c r="I155" s="92" t="str">
        <x:f t="shared" si="5"/>
      </x:c>
      <x:c r="J155" s="68" t="str">
        <x:f>IF(B155="","",IFERROR(INDEX(Planos_Contratos!$I$4:$I$203,MATCH(B155,Planos_Contratos!$A$4:$A$203,0)),""))</x:f>
      </x:c>
      <x:c r="K155" s="70"/>
      <x:c r="L155" s="96" t="str">
        <x:f>IF(B155="","",IFERROR(INDEX(Planos_Contratos!$M$4:$M$203,MATCH(B155,Planos_Contratos!$A$4:$A$203,0)),""))</x:f>
      </x:c>
      <x:c r="M155" s="64"/>
    </x:row>
    <x:row r="156" ht="20" customHeight="1">
      <x:c r="A156" s="68" t="str">
        <x:f t="shared" si="4"/>
      </x:c>
      <x:c r="B156" s="64"/>
      <x:c r="C156" s="68" t="str">
        <x:f>IF(B156="","",IFERROR(INDEX(Planos_Contratos!$B$4:$B$203,MATCH(B156,Planos_Contratos!$A$4:$A$203,0)),""))</x:f>
      </x:c>
      <x:c r="D156" s="68" t="str">
        <x:f>IF(B156="","",IFERROR(INDEX(Planos_Contratos!$C$4:$C$203,MATCH(B156,Planos_Contratos!$A$4:$A$203,0)),""))</x:f>
      </x:c>
      <x:c r="E156" s="72"/>
      <x:c r="F156" s="72"/>
      <x:c r="G156" s="92" t="str">
        <x:f>IF(B156="","",IFERROR(INDEX(Planos_Contratos!$L$4:$L$203,MATCH(B156,Planos_Contratos!$A$4:$A$203,0))/MAX(1,INDEX(Planos_Contratos!$M$4:$M$203,MATCH(B156,Planos_Contratos!$A$4:$A$203,0))),""))</x:f>
      </x:c>
      <x:c r="H156" s="112"/>
      <x:c r="I156" s="92" t="str">
        <x:f t="shared" si="5"/>
      </x:c>
      <x:c r="J156" s="68" t="str">
        <x:f>IF(B156="","",IFERROR(INDEX(Planos_Contratos!$I$4:$I$203,MATCH(B156,Planos_Contratos!$A$4:$A$203,0)),""))</x:f>
      </x:c>
      <x:c r="K156" s="70"/>
      <x:c r="L156" s="96" t="str">
        <x:f>IF(B156="","",IFERROR(INDEX(Planos_Contratos!$M$4:$M$203,MATCH(B156,Planos_Contratos!$A$4:$A$203,0)),""))</x:f>
      </x:c>
      <x:c r="M156" s="64"/>
    </x:row>
    <x:row r="157" ht="20" customHeight="1">
      <x:c r="A157" s="68" t="str">
        <x:f t="shared" si="4"/>
      </x:c>
      <x:c r="B157" s="64"/>
      <x:c r="C157" s="68" t="str">
        <x:f>IF(B157="","",IFERROR(INDEX(Planos_Contratos!$B$4:$B$203,MATCH(B157,Planos_Contratos!$A$4:$A$203,0)),""))</x:f>
      </x:c>
      <x:c r="D157" s="68" t="str">
        <x:f>IF(B157="","",IFERROR(INDEX(Planos_Contratos!$C$4:$C$203,MATCH(B157,Planos_Contratos!$A$4:$A$203,0)),""))</x:f>
      </x:c>
      <x:c r="E157" s="72"/>
      <x:c r="F157" s="72"/>
      <x:c r="G157" s="92" t="str">
        <x:f>IF(B157="","",IFERROR(INDEX(Planos_Contratos!$L$4:$L$203,MATCH(B157,Planos_Contratos!$A$4:$A$203,0))/MAX(1,INDEX(Planos_Contratos!$M$4:$M$203,MATCH(B157,Planos_Contratos!$A$4:$A$203,0))),""))</x:f>
      </x:c>
      <x:c r="H157" s="112"/>
      <x:c r="I157" s="92" t="str">
        <x:f t="shared" si="5"/>
      </x:c>
      <x:c r="J157" s="68" t="str">
        <x:f>IF(B157="","",IFERROR(INDEX(Planos_Contratos!$I$4:$I$203,MATCH(B157,Planos_Contratos!$A$4:$A$203,0)),""))</x:f>
      </x:c>
      <x:c r="K157" s="70"/>
      <x:c r="L157" s="96" t="str">
        <x:f>IF(B157="","",IFERROR(INDEX(Planos_Contratos!$M$4:$M$203,MATCH(B157,Planos_Contratos!$A$4:$A$203,0)),""))</x:f>
      </x:c>
      <x:c r="M157" s="64"/>
    </x:row>
    <x:row r="158" ht="20" customHeight="1">
      <x:c r="A158" s="68" t="str">
        <x:f t="shared" si="4"/>
      </x:c>
      <x:c r="B158" s="64"/>
      <x:c r="C158" s="68" t="str">
        <x:f>IF(B158="","",IFERROR(INDEX(Planos_Contratos!$B$4:$B$203,MATCH(B158,Planos_Contratos!$A$4:$A$203,0)),""))</x:f>
      </x:c>
      <x:c r="D158" s="68" t="str">
        <x:f>IF(B158="","",IFERROR(INDEX(Planos_Contratos!$C$4:$C$203,MATCH(B158,Planos_Contratos!$A$4:$A$203,0)),""))</x:f>
      </x:c>
      <x:c r="E158" s="72"/>
      <x:c r="F158" s="72"/>
      <x:c r="G158" s="92" t="str">
        <x:f>IF(B158="","",IFERROR(INDEX(Planos_Contratos!$L$4:$L$203,MATCH(B158,Planos_Contratos!$A$4:$A$203,0))/MAX(1,INDEX(Planos_Contratos!$M$4:$M$203,MATCH(B158,Planos_Contratos!$A$4:$A$203,0))),""))</x:f>
      </x:c>
      <x:c r="H158" s="112"/>
      <x:c r="I158" s="92" t="str">
        <x:f t="shared" si="5"/>
      </x:c>
      <x:c r="J158" s="68" t="str">
        <x:f>IF(B158="","",IFERROR(INDEX(Planos_Contratos!$I$4:$I$203,MATCH(B158,Planos_Contratos!$A$4:$A$203,0)),""))</x:f>
      </x:c>
      <x:c r="K158" s="70"/>
      <x:c r="L158" s="96" t="str">
        <x:f>IF(B158="","",IFERROR(INDEX(Planos_Contratos!$M$4:$M$203,MATCH(B158,Planos_Contratos!$A$4:$A$203,0)),""))</x:f>
      </x:c>
      <x:c r="M158" s="64"/>
    </x:row>
    <x:row r="159" ht="20" customHeight="1">
      <x:c r="A159" s="68" t="str">
        <x:f t="shared" si="4"/>
      </x:c>
      <x:c r="B159" s="64"/>
      <x:c r="C159" s="68" t="str">
        <x:f>IF(B159="","",IFERROR(INDEX(Planos_Contratos!$B$4:$B$203,MATCH(B159,Planos_Contratos!$A$4:$A$203,0)),""))</x:f>
      </x:c>
      <x:c r="D159" s="68" t="str">
        <x:f>IF(B159="","",IFERROR(INDEX(Planos_Contratos!$C$4:$C$203,MATCH(B159,Planos_Contratos!$A$4:$A$203,0)),""))</x:f>
      </x:c>
      <x:c r="E159" s="72"/>
      <x:c r="F159" s="72"/>
      <x:c r="G159" s="92" t="str">
        <x:f>IF(B159="","",IFERROR(INDEX(Planos_Contratos!$L$4:$L$203,MATCH(B159,Planos_Contratos!$A$4:$A$203,0))/MAX(1,INDEX(Planos_Contratos!$M$4:$M$203,MATCH(B159,Planos_Contratos!$A$4:$A$203,0))),""))</x:f>
      </x:c>
      <x:c r="H159" s="112"/>
      <x:c r="I159" s="92" t="str">
        <x:f t="shared" si="5"/>
      </x:c>
      <x:c r="J159" s="68" t="str">
        <x:f>IF(B159="","",IFERROR(INDEX(Planos_Contratos!$I$4:$I$203,MATCH(B159,Planos_Contratos!$A$4:$A$203,0)),""))</x:f>
      </x:c>
      <x:c r="K159" s="70"/>
      <x:c r="L159" s="96" t="str">
        <x:f>IF(B159="","",IFERROR(INDEX(Planos_Contratos!$M$4:$M$203,MATCH(B159,Planos_Contratos!$A$4:$A$203,0)),""))</x:f>
      </x:c>
      <x:c r="M159" s="64"/>
    </x:row>
    <x:row r="160" ht="20" customHeight="1">
      <x:c r="A160" s="68" t="str">
        <x:f t="shared" si="4"/>
      </x:c>
      <x:c r="B160" s="64"/>
      <x:c r="C160" s="68" t="str">
        <x:f>IF(B160="","",IFERROR(INDEX(Planos_Contratos!$B$4:$B$203,MATCH(B160,Planos_Contratos!$A$4:$A$203,0)),""))</x:f>
      </x:c>
      <x:c r="D160" s="68" t="str">
        <x:f>IF(B160="","",IFERROR(INDEX(Planos_Contratos!$C$4:$C$203,MATCH(B160,Planos_Contratos!$A$4:$A$203,0)),""))</x:f>
      </x:c>
      <x:c r="E160" s="72"/>
      <x:c r="F160" s="72"/>
      <x:c r="G160" s="92" t="str">
        <x:f>IF(B160="","",IFERROR(INDEX(Planos_Contratos!$L$4:$L$203,MATCH(B160,Planos_Contratos!$A$4:$A$203,0))/MAX(1,INDEX(Planos_Contratos!$M$4:$M$203,MATCH(B160,Planos_Contratos!$A$4:$A$203,0))),""))</x:f>
      </x:c>
      <x:c r="H160" s="112"/>
      <x:c r="I160" s="92" t="str">
        <x:f t="shared" si="5"/>
      </x:c>
      <x:c r="J160" s="68" t="str">
        <x:f>IF(B160="","",IFERROR(INDEX(Planos_Contratos!$I$4:$I$203,MATCH(B160,Planos_Contratos!$A$4:$A$203,0)),""))</x:f>
      </x:c>
      <x:c r="K160" s="70"/>
      <x:c r="L160" s="96" t="str">
        <x:f>IF(B160="","",IFERROR(INDEX(Planos_Contratos!$M$4:$M$203,MATCH(B160,Planos_Contratos!$A$4:$A$203,0)),""))</x:f>
      </x:c>
      <x:c r="M160" s="64"/>
    </x:row>
    <x:row r="161" ht="20" customHeight="1">
      <x:c r="A161" s="68" t="str">
        <x:f t="shared" si="4"/>
      </x:c>
      <x:c r="B161" s="64"/>
      <x:c r="C161" s="68" t="str">
        <x:f>IF(B161="","",IFERROR(INDEX(Planos_Contratos!$B$4:$B$203,MATCH(B161,Planos_Contratos!$A$4:$A$203,0)),""))</x:f>
      </x:c>
      <x:c r="D161" s="68" t="str">
        <x:f>IF(B161="","",IFERROR(INDEX(Planos_Contratos!$C$4:$C$203,MATCH(B161,Planos_Contratos!$A$4:$A$203,0)),""))</x:f>
      </x:c>
      <x:c r="E161" s="72"/>
      <x:c r="F161" s="72"/>
      <x:c r="G161" s="92" t="str">
        <x:f>IF(B161="","",IFERROR(INDEX(Planos_Contratos!$L$4:$L$203,MATCH(B161,Planos_Contratos!$A$4:$A$203,0))/MAX(1,INDEX(Planos_Contratos!$M$4:$M$203,MATCH(B161,Planos_Contratos!$A$4:$A$203,0))),""))</x:f>
      </x:c>
      <x:c r="H161" s="112"/>
      <x:c r="I161" s="92" t="str">
        <x:f t="shared" si="5"/>
      </x:c>
      <x:c r="J161" s="68" t="str">
        <x:f>IF(B161="","",IFERROR(INDEX(Planos_Contratos!$I$4:$I$203,MATCH(B161,Planos_Contratos!$A$4:$A$203,0)),""))</x:f>
      </x:c>
      <x:c r="K161" s="70"/>
      <x:c r="L161" s="96" t="str">
        <x:f>IF(B161="","",IFERROR(INDEX(Planos_Contratos!$M$4:$M$203,MATCH(B161,Planos_Contratos!$A$4:$A$203,0)),""))</x:f>
      </x:c>
      <x:c r="M161" s="64"/>
    </x:row>
    <x:row r="162" ht="20" customHeight="1">
      <x:c r="A162" s="68" t="str">
        <x:f t="shared" si="4"/>
      </x:c>
      <x:c r="B162" s="64"/>
      <x:c r="C162" s="68" t="str">
        <x:f>IF(B162="","",IFERROR(INDEX(Planos_Contratos!$B$4:$B$203,MATCH(B162,Planos_Contratos!$A$4:$A$203,0)),""))</x:f>
      </x:c>
      <x:c r="D162" s="68" t="str">
        <x:f>IF(B162="","",IFERROR(INDEX(Planos_Contratos!$C$4:$C$203,MATCH(B162,Planos_Contratos!$A$4:$A$203,0)),""))</x:f>
      </x:c>
      <x:c r="E162" s="72"/>
      <x:c r="F162" s="72"/>
      <x:c r="G162" s="92" t="str">
        <x:f>IF(B162="","",IFERROR(INDEX(Planos_Contratos!$L$4:$L$203,MATCH(B162,Planos_Contratos!$A$4:$A$203,0))/MAX(1,INDEX(Planos_Contratos!$M$4:$M$203,MATCH(B162,Planos_Contratos!$A$4:$A$203,0))),""))</x:f>
      </x:c>
      <x:c r="H162" s="112"/>
      <x:c r="I162" s="92" t="str">
        <x:f t="shared" si="5"/>
      </x:c>
      <x:c r="J162" s="68" t="str">
        <x:f>IF(B162="","",IFERROR(INDEX(Planos_Contratos!$I$4:$I$203,MATCH(B162,Planos_Contratos!$A$4:$A$203,0)),""))</x:f>
      </x:c>
      <x:c r="K162" s="70"/>
      <x:c r="L162" s="96" t="str">
        <x:f>IF(B162="","",IFERROR(INDEX(Planos_Contratos!$M$4:$M$203,MATCH(B162,Planos_Contratos!$A$4:$A$203,0)),""))</x:f>
      </x:c>
      <x:c r="M162" s="64"/>
    </x:row>
    <x:row r="163" ht="20" customHeight="1">
      <x:c r="A163" s="68" t="str">
        <x:f t="shared" si="4"/>
      </x:c>
      <x:c r="B163" s="64"/>
      <x:c r="C163" s="68" t="str">
        <x:f>IF(B163="","",IFERROR(INDEX(Planos_Contratos!$B$4:$B$203,MATCH(B163,Planos_Contratos!$A$4:$A$203,0)),""))</x:f>
      </x:c>
      <x:c r="D163" s="68" t="str">
        <x:f>IF(B163="","",IFERROR(INDEX(Planos_Contratos!$C$4:$C$203,MATCH(B163,Planos_Contratos!$A$4:$A$203,0)),""))</x:f>
      </x:c>
      <x:c r="E163" s="72"/>
      <x:c r="F163" s="72"/>
      <x:c r="G163" s="92" t="str">
        <x:f>IF(B163="","",IFERROR(INDEX(Planos_Contratos!$L$4:$L$203,MATCH(B163,Planos_Contratos!$A$4:$A$203,0))/MAX(1,INDEX(Planos_Contratos!$M$4:$M$203,MATCH(B163,Planos_Contratos!$A$4:$A$203,0))),""))</x:f>
      </x:c>
      <x:c r="H163" s="112"/>
      <x:c r="I163" s="92" t="str">
        <x:f t="shared" si="5"/>
      </x:c>
      <x:c r="J163" s="68" t="str">
        <x:f>IF(B163="","",IFERROR(INDEX(Planos_Contratos!$I$4:$I$203,MATCH(B163,Planos_Contratos!$A$4:$A$203,0)),""))</x:f>
      </x:c>
      <x:c r="K163" s="70"/>
      <x:c r="L163" s="96" t="str">
        <x:f>IF(B163="","",IFERROR(INDEX(Planos_Contratos!$M$4:$M$203,MATCH(B163,Planos_Contratos!$A$4:$A$203,0)),""))</x:f>
      </x:c>
      <x:c r="M163" s="64"/>
    </x:row>
    <x:row r="164" ht="20" customHeight="1">
      <x:c r="A164" s="68" t="str">
        <x:f t="shared" si="4"/>
      </x:c>
      <x:c r="B164" s="64"/>
      <x:c r="C164" s="68" t="str">
        <x:f>IF(B164="","",IFERROR(INDEX(Planos_Contratos!$B$4:$B$203,MATCH(B164,Planos_Contratos!$A$4:$A$203,0)),""))</x:f>
      </x:c>
      <x:c r="D164" s="68" t="str">
        <x:f>IF(B164="","",IFERROR(INDEX(Planos_Contratos!$C$4:$C$203,MATCH(B164,Planos_Contratos!$A$4:$A$203,0)),""))</x:f>
      </x:c>
      <x:c r="E164" s="72"/>
      <x:c r="F164" s="72"/>
      <x:c r="G164" s="92" t="str">
        <x:f>IF(B164="","",IFERROR(INDEX(Planos_Contratos!$L$4:$L$203,MATCH(B164,Planos_Contratos!$A$4:$A$203,0))/MAX(1,INDEX(Planos_Contratos!$M$4:$M$203,MATCH(B164,Planos_Contratos!$A$4:$A$203,0))),""))</x:f>
      </x:c>
      <x:c r="H164" s="112"/>
      <x:c r="I164" s="92" t="str">
        <x:f t="shared" si="5"/>
      </x:c>
      <x:c r="J164" s="68" t="str">
        <x:f>IF(B164="","",IFERROR(INDEX(Planos_Contratos!$I$4:$I$203,MATCH(B164,Planos_Contratos!$A$4:$A$203,0)),""))</x:f>
      </x:c>
      <x:c r="K164" s="70"/>
      <x:c r="L164" s="96" t="str">
        <x:f>IF(B164="","",IFERROR(INDEX(Planos_Contratos!$M$4:$M$203,MATCH(B164,Planos_Contratos!$A$4:$A$203,0)),""))</x:f>
      </x:c>
      <x:c r="M164" s="64"/>
    </x:row>
    <x:row r="165" ht="20" customHeight="1">
      <x:c r="A165" s="68" t="str">
        <x:f t="shared" si="4"/>
      </x:c>
      <x:c r="B165" s="64"/>
      <x:c r="C165" s="68" t="str">
        <x:f>IF(B165="","",IFERROR(INDEX(Planos_Contratos!$B$4:$B$203,MATCH(B165,Planos_Contratos!$A$4:$A$203,0)),""))</x:f>
      </x:c>
      <x:c r="D165" s="68" t="str">
        <x:f>IF(B165="","",IFERROR(INDEX(Planos_Contratos!$C$4:$C$203,MATCH(B165,Planos_Contratos!$A$4:$A$203,0)),""))</x:f>
      </x:c>
      <x:c r="E165" s="72"/>
      <x:c r="F165" s="72"/>
      <x:c r="G165" s="92" t="str">
        <x:f>IF(B165="","",IFERROR(INDEX(Planos_Contratos!$L$4:$L$203,MATCH(B165,Planos_Contratos!$A$4:$A$203,0))/MAX(1,INDEX(Planos_Contratos!$M$4:$M$203,MATCH(B165,Planos_Contratos!$A$4:$A$203,0))),""))</x:f>
      </x:c>
      <x:c r="H165" s="112"/>
      <x:c r="I165" s="92" t="str">
        <x:f t="shared" si="5"/>
      </x:c>
      <x:c r="J165" s="68" t="str">
        <x:f>IF(B165="","",IFERROR(INDEX(Planos_Contratos!$I$4:$I$203,MATCH(B165,Planos_Contratos!$A$4:$A$203,0)),""))</x:f>
      </x:c>
      <x:c r="K165" s="70"/>
      <x:c r="L165" s="96" t="str">
        <x:f>IF(B165="","",IFERROR(INDEX(Planos_Contratos!$M$4:$M$203,MATCH(B165,Planos_Contratos!$A$4:$A$203,0)),""))</x:f>
      </x:c>
      <x:c r="M165" s="64"/>
    </x:row>
    <x:row r="166" ht="20" customHeight="1">
      <x:c r="A166" s="68" t="str">
        <x:f t="shared" si="4"/>
      </x:c>
      <x:c r="B166" s="64"/>
      <x:c r="C166" s="68" t="str">
        <x:f>IF(B166="","",IFERROR(INDEX(Planos_Contratos!$B$4:$B$203,MATCH(B166,Planos_Contratos!$A$4:$A$203,0)),""))</x:f>
      </x:c>
      <x:c r="D166" s="68" t="str">
        <x:f>IF(B166="","",IFERROR(INDEX(Planos_Contratos!$C$4:$C$203,MATCH(B166,Planos_Contratos!$A$4:$A$203,0)),""))</x:f>
      </x:c>
      <x:c r="E166" s="72"/>
      <x:c r="F166" s="72"/>
      <x:c r="G166" s="92" t="str">
        <x:f>IF(B166="","",IFERROR(INDEX(Planos_Contratos!$L$4:$L$203,MATCH(B166,Planos_Contratos!$A$4:$A$203,0))/MAX(1,INDEX(Planos_Contratos!$M$4:$M$203,MATCH(B166,Planos_Contratos!$A$4:$A$203,0))),""))</x:f>
      </x:c>
      <x:c r="H166" s="112"/>
      <x:c r="I166" s="92" t="str">
        <x:f t="shared" si="5"/>
      </x:c>
      <x:c r="J166" s="68" t="str">
        <x:f>IF(B166="","",IFERROR(INDEX(Planos_Contratos!$I$4:$I$203,MATCH(B166,Planos_Contratos!$A$4:$A$203,0)),""))</x:f>
      </x:c>
      <x:c r="K166" s="70"/>
      <x:c r="L166" s="96" t="str">
        <x:f>IF(B166="","",IFERROR(INDEX(Planos_Contratos!$M$4:$M$203,MATCH(B166,Planos_Contratos!$A$4:$A$203,0)),""))</x:f>
      </x:c>
      <x:c r="M166" s="64"/>
    </x:row>
    <x:row r="167" ht="20" customHeight="1">
      <x:c r="A167" s="68" t="str">
        <x:f t="shared" si="4"/>
      </x:c>
      <x:c r="B167" s="64"/>
      <x:c r="C167" s="68" t="str">
        <x:f>IF(B167="","",IFERROR(INDEX(Planos_Contratos!$B$4:$B$203,MATCH(B167,Planos_Contratos!$A$4:$A$203,0)),""))</x:f>
      </x:c>
      <x:c r="D167" s="68" t="str">
        <x:f>IF(B167="","",IFERROR(INDEX(Planos_Contratos!$C$4:$C$203,MATCH(B167,Planos_Contratos!$A$4:$A$203,0)),""))</x:f>
      </x:c>
      <x:c r="E167" s="72"/>
      <x:c r="F167" s="72"/>
      <x:c r="G167" s="92" t="str">
        <x:f>IF(B167="","",IFERROR(INDEX(Planos_Contratos!$L$4:$L$203,MATCH(B167,Planos_Contratos!$A$4:$A$203,0))/MAX(1,INDEX(Planos_Contratos!$M$4:$M$203,MATCH(B167,Planos_Contratos!$A$4:$A$203,0))),""))</x:f>
      </x:c>
      <x:c r="H167" s="112"/>
      <x:c r="I167" s="92" t="str">
        <x:f t="shared" si="5"/>
      </x:c>
      <x:c r="J167" s="68" t="str">
        <x:f>IF(B167="","",IFERROR(INDEX(Planos_Contratos!$I$4:$I$203,MATCH(B167,Planos_Contratos!$A$4:$A$203,0)),""))</x:f>
      </x:c>
      <x:c r="K167" s="70"/>
      <x:c r="L167" s="96" t="str">
        <x:f>IF(B167="","",IFERROR(INDEX(Planos_Contratos!$M$4:$M$203,MATCH(B167,Planos_Contratos!$A$4:$A$203,0)),""))</x:f>
      </x:c>
      <x:c r="M167" s="64"/>
    </x:row>
    <x:row r="168" ht="20" customHeight="1">
      <x:c r="A168" s="68" t="str">
        <x:f t="shared" si="4"/>
      </x:c>
      <x:c r="B168" s="64"/>
      <x:c r="C168" s="68" t="str">
        <x:f>IF(B168="","",IFERROR(INDEX(Planos_Contratos!$B$4:$B$203,MATCH(B168,Planos_Contratos!$A$4:$A$203,0)),""))</x:f>
      </x:c>
      <x:c r="D168" s="68" t="str">
        <x:f>IF(B168="","",IFERROR(INDEX(Planos_Contratos!$C$4:$C$203,MATCH(B168,Planos_Contratos!$A$4:$A$203,0)),""))</x:f>
      </x:c>
      <x:c r="E168" s="72"/>
      <x:c r="F168" s="72"/>
      <x:c r="G168" s="92" t="str">
        <x:f>IF(B168="","",IFERROR(INDEX(Planos_Contratos!$L$4:$L$203,MATCH(B168,Planos_Contratos!$A$4:$A$203,0))/MAX(1,INDEX(Planos_Contratos!$M$4:$M$203,MATCH(B168,Planos_Contratos!$A$4:$A$203,0))),""))</x:f>
      </x:c>
      <x:c r="H168" s="112"/>
      <x:c r="I168" s="92" t="str">
        <x:f t="shared" si="5"/>
      </x:c>
      <x:c r="J168" s="68" t="str">
        <x:f>IF(B168="","",IFERROR(INDEX(Planos_Contratos!$I$4:$I$203,MATCH(B168,Planos_Contratos!$A$4:$A$203,0)),""))</x:f>
      </x:c>
      <x:c r="K168" s="70"/>
      <x:c r="L168" s="96" t="str">
        <x:f>IF(B168="","",IFERROR(INDEX(Planos_Contratos!$M$4:$M$203,MATCH(B168,Planos_Contratos!$A$4:$A$203,0)),""))</x:f>
      </x:c>
      <x:c r="M168" s="64"/>
    </x:row>
    <x:row r="169" ht="20" customHeight="1">
      <x:c r="A169" s="68" t="str">
        <x:f t="shared" si="4"/>
      </x:c>
      <x:c r="B169" s="64"/>
      <x:c r="C169" s="68" t="str">
        <x:f>IF(B169="","",IFERROR(INDEX(Planos_Contratos!$B$4:$B$203,MATCH(B169,Planos_Contratos!$A$4:$A$203,0)),""))</x:f>
      </x:c>
      <x:c r="D169" s="68" t="str">
        <x:f>IF(B169="","",IFERROR(INDEX(Planos_Contratos!$C$4:$C$203,MATCH(B169,Planos_Contratos!$A$4:$A$203,0)),""))</x:f>
      </x:c>
      <x:c r="E169" s="72"/>
      <x:c r="F169" s="72"/>
      <x:c r="G169" s="92" t="str">
        <x:f>IF(B169="","",IFERROR(INDEX(Planos_Contratos!$L$4:$L$203,MATCH(B169,Planos_Contratos!$A$4:$A$203,0))/MAX(1,INDEX(Planos_Contratos!$M$4:$M$203,MATCH(B169,Planos_Contratos!$A$4:$A$203,0))),""))</x:f>
      </x:c>
      <x:c r="H169" s="112"/>
      <x:c r="I169" s="92" t="str">
        <x:f t="shared" si="5"/>
      </x:c>
      <x:c r="J169" s="68" t="str">
        <x:f>IF(B169="","",IFERROR(INDEX(Planos_Contratos!$I$4:$I$203,MATCH(B169,Planos_Contratos!$A$4:$A$203,0)),""))</x:f>
      </x:c>
      <x:c r="K169" s="70"/>
      <x:c r="L169" s="96" t="str">
        <x:f>IF(B169="","",IFERROR(INDEX(Planos_Contratos!$M$4:$M$203,MATCH(B169,Planos_Contratos!$A$4:$A$203,0)),""))</x:f>
      </x:c>
      <x:c r="M169" s="64"/>
    </x:row>
    <x:row r="170" ht="20" customHeight="1">
      <x:c r="A170" s="68" t="str">
        <x:f t="shared" si="4"/>
      </x:c>
      <x:c r="B170" s="64"/>
      <x:c r="C170" s="68" t="str">
        <x:f>IF(B170="","",IFERROR(INDEX(Planos_Contratos!$B$4:$B$203,MATCH(B170,Planos_Contratos!$A$4:$A$203,0)),""))</x:f>
      </x:c>
      <x:c r="D170" s="68" t="str">
        <x:f>IF(B170="","",IFERROR(INDEX(Planos_Contratos!$C$4:$C$203,MATCH(B170,Planos_Contratos!$A$4:$A$203,0)),""))</x:f>
      </x:c>
      <x:c r="E170" s="72"/>
      <x:c r="F170" s="72"/>
      <x:c r="G170" s="92" t="str">
        <x:f>IF(B170="","",IFERROR(INDEX(Planos_Contratos!$L$4:$L$203,MATCH(B170,Planos_Contratos!$A$4:$A$203,0))/MAX(1,INDEX(Planos_Contratos!$M$4:$M$203,MATCH(B170,Planos_Contratos!$A$4:$A$203,0))),""))</x:f>
      </x:c>
      <x:c r="H170" s="112"/>
      <x:c r="I170" s="92" t="str">
        <x:f t="shared" si="5"/>
      </x:c>
      <x:c r="J170" s="68" t="str">
        <x:f>IF(B170="","",IFERROR(INDEX(Planos_Contratos!$I$4:$I$203,MATCH(B170,Planos_Contratos!$A$4:$A$203,0)),""))</x:f>
      </x:c>
      <x:c r="K170" s="70"/>
      <x:c r="L170" s="96" t="str">
        <x:f>IF(B170="","",IFERROR(INDEX(Planos_Contratos!$M$4:$M$203,MATCH(B170,Planos_Contratos!$A$4:$A$203,0)),""))</x:f>
      </x:c>
      <x:c r="M170" s="64"/>
    </x:row>
    <x:row r="171" ht="20" customHeight="1">
      <x:c r="A171" s="68" t="str">
        <x:f t="shared" si="4"/>
      </x:c>
      <x:c r="B171" s="64"/>
      <x:c r="C171" s="68" t="str">
        <x:f>IF(B171="","",IFERROR(INDEX(Planos_Contratos!$B$4:$B$203,MATCH(B171,Planos_Contratos!$A$4:$A$203,0)),""))</x:f>
      </x:c>
      <x:c r="D171" s="68" t="str">
        <x:f>IF(B171="","",IFERROR(INDEX(Planos_Contratos!$C$4:$C$203,MATCH(B171,Planos_Contratos!$A$4:$A$203,0)),""))</x:f>
      </x:c>
      <x:c r="E171" s="72"/>
      <x:c r="F171" s="72"/>
      <x:c r="G171" s="92" t="str">
        <x:f>IF(B171="","",IFERROR(INDEX(Planos_Contratos!$L$4:$L$203,MATCH(B171,Planos_Contratos!$A$4:$A$203,0))/MAX(1,INDEX(Planos_Contratos!$M$4:$M$203,MATCH(B171,Planos_Contratos!$A$4:$A$203,0))),""))</x:f>
      </x:c>
      <x:c r="H171" s="112"/>
      <x:c r="I171" s="92" t="str">
        <x:f t="shared" si="5"/>
      </x:c>
      <x:c r="J171" s="68" t="str">
        <x:f>IF(B171="","",IFERROR(INDEX(Planos_Contratos!$I$4:$I$203,MATCH(B171,Planos_Contratos!$A$4:$A$203,0)),""))</x:f>
      </x:c>
      <x:c r="K171" s="70"/>
      <x:c r="L171" s="96" t="str">
        <x:f>IF(B171="","",IFERROR(INDEX(Planos_Contratos!$M$4:$M$203,MATCH(B171,Planos_Contratos!$A$4:$A$203,0)),""))</x:f>
      </x:c>
      <x:c r="M171" s="64"/>
    </x:row>
    <x:row r="172" ht="20" customHeight="1">
      <x:c r="A172" s="68" t="str">
        <x:f t="shared" si="4"/>
      </x:c>
      <x:c r="B172" s="64"/>
      <x:c r="C172" s="68" t="str">
        <x:f>IF(B172="","",IFERROR(INDEX(Planos_Contratos!$B$4:$B$203,MATCH(B172,Planos_Contratos!$A$4:$A$203,0)),""))</x:f>
      </x:c>
      <x:c r="D172" s="68" t="str">
        <x:f>IF(B172="","",IFERROR(INDEX(Planos_Contratos!$C$4:$C$203,MATCH(B172,Planos_Contratos!$A$4:$A$203,0)),""))</x:f>
      </x:c>
      <x:c r="E172" s="72"/>
      <x:c r="F172" s="72"/>
      <x:c r="G172" s="92" t="str">
        <x:f>IF(B172="","",IFERROR(INDEX(Planos_Contratos!$L$4:$L$203,MATCH(B172,Planos_Contratos!$A$4:$A$203,0))/MAX(1,INDEX(Planos_Contratos!$M$4:$M$203,MATCH(B172,Planos_Contratos!$A$4:$A$203,0))),""))</x:f>
      </x:c>
      <x:c r="H172" s="112"/>
      <x:c r="I172" s="92" t="str">
        <x:f t="shared" si="5"/>
      </x:c>
      <x:c r="J172" s="68" t="str">
        <x:f>IF(B172="","",IFERROR(INDEX(Planos_Contratos!$I$4:$I$203,MATCH(B172,Planos_Contratos!$A$4:$A$203,0)),""))</x:f>
      </x:c>
      <x:c r="K172" s="70"/>
      <x:c r="L172" s="96" t="str">
        <x:f>IF(B172="","",IFERROR(INDEX(Planos_Contratos!$M$4:$M$203,MATCH(B172,Planos_Contratos!$A$4:$A$203,0)),""))</x:f>
      </x:c>
      <x:c r="M172" s="64"/>
    </x:row>
    <x:row r="173" ht="20" customHeight="1">
      <x:c r="A173" s="68" t="str">
        <x:f t="shared" si="4"/>
      </x:c>
      <x:c r="B173" s="64"/>
      <x:c r="C173" s="68" t="str">
        <x:f>IF(B173="","",IFERROR(INDEX(Planos_Contratos!$B$4:$B$203,MATCH(B173,Planos_Contratos!$A$4:$A$203,0)),""))</x:f>
      </x:c>
      <x:c r="D173" s="68" t="str">
        <x:f>IF(B173="","",IFERROR(INDEX(Planos_Contratos!$C$4:$C$203,MATCH(B173,Planos_Contratos!$A$4:$A$203,0)),""))</x:f>
      </x:c>
      <x:c r="E173" s="72"/>
      <x:c r="F173" s="72"/>
      <x:c r="G173" s="92" t="str">
        <x:f>IF(B173="","",IFERROR(INDEX(Planos_Contratos!$L$4:$L$203,MATCH(B173,Planos_Contratos!$A$4:$A$203,0))/MAX(1,INDEX(Planos_Contratos!$M$4:$M$203,MATCH(B173,Planos_Contratos!$A$4:$A$203,0))),""))</x:f>
      </x:c>
      <x:c r="H173" s="112"/>
      <x:c r="I173" s="92" t="str">
        <x:f t="shared" si="5"/>
      </x:c>
      <x:c r="J173" s="68" t="str">
        <x:f>IF(B173="","",IFERROR(INDEX(Planos_Contratos!$I$4:$I$203,MATCH(B173,Planos_Contratos!$A$4:$A$203,0)),""))</x:f>
      </x:c>
      <x:c r="K173" s="70"/>
      <x:c r="L173" s="96" t="str">
        <x:f>IF(B173="","",IFERROR(INDEX(Planos_Contratos!$M$4:$M$203,MATCH(B173,Planos_Contratos!$A$4:$A$203,0)),""))</x:f>
      </x:c>
      <x:c r="M173" s="64"/>
    </x:row>
    <x:row r="174" ht="20" customHeight="1">
      <x:c r="A174" s="68" t="str">
        <x:f t="shared" si="4"/>
      </x:c>
      <x:c r="B174" s="64"/>
      <x:c r="C174" s="68" t="str">
        <x:f>IF(B174="","",IFERROR(INDEX(Planos_Contratos!$B$4:$B$203,MATCH(B174,Planos_Contratos!$A$4:$A$203,0)),""))</x:f>
      </x:c>
      <x:c r="D174" s="68" t="str">
        <x:f>IF(B174="","",IFERROR(INDEX(Planos_Contratos!$C$4:$C$203,MATCH(B174,Planos_Contratos!$A$4:$A$203,0)),""))</x:f>
      </x:c>
      <x:c r="E174" s="72"/>
      <x:c r="F174" s="72"/>
      <x:c r="G174" s="92" t="str">
        <x:f>IF(B174="","",IFERROR(INDEX(Planos_Contratos!$L$4:$L$203,MATCH(B174,Planos_Contratos!$A$4:$A$203,0))/MAX(1,INDEX(Planos_Contratos!$M$4:$M$203,MATCH(B174,Planos_Contratos!$A$4:$A$203,0))),""))</x:f>
      </x:c>
      <x:c r="H174" s="112"/>
      <x:c r="I174" s="92" t="str">
        <x:f t="shared" si="5"/>
      </x:c>
      <x:c r="J174" s="68" t="str">
        <x:f>IF(B174="","",IFERROR(INDEX(Planos_Contratos!$I$4:$I$203,MATCH(B174,Planos_Contratos!$A$4:$A$203,0)),""))</x:f>
      </x:c>
      <x:c r="K174" s="70"/>
      <x:c r="L174" s="96" t="str">
        <x:f>IF(B174="","",IFERROR(INDEX(Planos_Contratos!$M$4:$M$203,MATCH(B174,Planos_Contratos!$A$4:$A$203,0)),""))</x:f>
      </x:c>
      <x:c r="M174" s="64"/>
    </x:row>
    <x:row r="175" ht="20" customHeight="1">
      <x:c r="A175" s="68" t="str">
        <x:f t="shared" si="4"/>
      </x:c>
      <x:c r="B175" s="64"/>
      <x:c r="C175" s="68" t="str">
        <x:f>IF(B175="","",IFERROR(INDEX(Planos_Contratos!$B$4:$B$203,MATCH(B175,Planos_Contratos!$A$4:$A$203,0)),""))</x:f>
      </x:c>
      <x:c r="D175" s="68" t="str">
        <x:f>IF(B175="","",IFERROR(INDEX(Planos_Contratos!$C$4:$C$203,MATCH(B175,Planos_Contratos!$A$4:$A$203,0)),""))</x:f>
      </x:c>
      <x:c r="E175" s="72"/>
      <x:c r="F175" s="72"/>
      <x:c r="G175" s="92" t="str">
        <x:f>IF(B175="","",IFERROR(INDEX(Planos_Contratos!$L$4:$L$203,MATCH(B175,Planos_Contratos!$A$4:$A$203,0))/MAX(1,INDEX(Planos_Contratos!$M$4:$M$203,MATCH(B175,Planos_Contratos!$A$4:$A$203,0))),""))</x:f>
      </x:c>
      <x:c r="H175" s="112"/>
      <x:c r="I175" s="92" t="str">
        <x:f t="shared" si="5"/>
      </x:c>
      <x:c r="J175" s="68" t="str">
        <x:f>IF(B175="","",IFERROR(INDEX(Planos_Contratos!$I$4:$I$203,MATCH(B175,Planos_Contratos!$A$4:$A$203,0)),""))</x:f>
      </x:c>
      <x:c r="K175" s="70"/>
      <x:c r="L175" s="96" t="str">
        <x:f>IF(B175="","",IFERROR(INDEX(Planos_Contratos!$M$4:$M$203,MATCH(B175,Planos_Contratos!$A$4:$A$203,0)),""))</x:f>
      </x:c>
      <x:c r="M175" s="64"/>
    </x:row>
    <x:row r="176" ht="20" customHeight="1">
      <x:c r="A176" s="68" t="str">
        <x:f t="shared" si="4"/>
      </x:c>
      <x:c r="B176" s="64"/>
      <x:c r="C176" s="68" t="str">
        <x:f>IF(B176="","",IFERROR(INDEX(Planos_Contratos!$B$4:$B$203,MATCH(B176,Planos_Contratos!$A$4:$A$203,0)),""))</x:f>
      </x:c>
      <x:c r="D176" s="68" t="str">
        <x:f>IF(B176="","",IFERROR(INDEX(Planos_Contratos!$C$4:$C$203,MATCH(B176,Planos_Contratos!$A$4:$A$203,0)),""))</x:f>
      </x:c>
      <x:c r="E176" s="72"/>
      <x:c r="F176" s="72"/>
      <x:c r="G176" s="92" t="str">
        <x:f>IF(B176="","",IFERROR(INDEX(Planos_Contratos!$L$4:$L$203,MATCH(B176,Planos_Contratos!$A$4:$A$203,0))/MAX(1,INDEX(Planos_Contratos!$M$4:$M$203,MATCH(B176,Planos_Contratos!$A$4:$A$203,0))),""))</x:f>
      </x:c>
      <x:c r="H176" s="112"/>
      <x:c r="I176" s="92" t="str">
        <x:f t="shared" si="5"/>
      </x:c>
      <x:c r="J176" s="68" t="str">
        <x:f>IF(B176="","",IFERROR(INDEX(Planos_Contratos!$I$4:$I$203,MATCH(B176,Planos_Contratos!$A$4:$A$203,0)),""))</x:f>
      </x:c>
      <x:c r="K176" s="70"/>
      <x:c r="L176" s="96" t="str">
        <x:f>IF(B176="","",IFERROR(INDEX(Planos_Contratos!$M$4:$M$203,MATCH(B176,Planos_Contratos!$A$4:$A$203,0)),""))</x:f>
      </x:c>
      <x:c r="M176" s="64"/>
    </x:row>
    <x:row r="177" ht="20" customHeight="1">
      <x:c r="A177" s="68" t="str">
        <x:f t="shared" si="4"/>
      </x:c>
      <x:c r="B177" s="64"/>
      <x:c r="C177" s="68" t="str">
        <x:f>IF(B177="","",IFERROR(INDEX(Planos_Contratos!$B$4:$B$203,MATCH(B177,Planos_Contratos!$A$4:$A$203,0)),""))</x:f>
      </x:c>
      <x:c r="D177" s="68" t="str">
        <x:f>IF(B177="","",IFERROR(INDEX(Planos_Contratos!$C$4:$C$203,MATCH(B177,Planos_Contratos!$A$4:$A$203,0)),""))</x:f>
      </x:c>
      <x:c r="E177" s="72"/>
      <x:c r="F177" s="72"/>
      <x:c r="G177" s="92" t="str">
        <x:f>IF(B177="","",IFERROR(INDEX(Planos_Contratos!$L$4:$L$203,MATCH(B177,Planos_Contratos!$A$4:$A$203,0))/MAX(1,INDEX(Planos_Contratos!$M$4:$M$203,MATCH(B177,Planos_Contratos!$A$4:$A$203,0))),""))</x:f>
      </x:c>
      <x:c r="H177" s="112"/>
      <x:c r="I177" s="92" t="str">
        <x:f t="shared" si="5"/>
      </x:c>
      <x:c r="J177" s="68" t="str">
        <x:f>IF(B177="","",IFERROR(INDEX(Planos_Contratos!$I$4:$I$203,MATCH(B177,Planos_Contratos!$A$4:$A$203,0)),""))</x:f>
      </x:c>
      <x:c r="K177" s="70"/>
      <x:c r="L177" s="96" t="str">
        <x:f>IF(B177="","",IFERROR(INDEX(Planos_Contratos!$M$4:$M$203,MATCH(B177,Planos_Contratos!$A$4:$A$203,0)),""))</x:f>
      </x:c>
      <x:c r="M177" s="64"/>
    </x:row>
    <x:row r="178" ht="20" customHeight="1">
      <x:c r="A178" s="68" t="str">
        <x:f t="shared" si="4"/>
      </x:c>
      <x:c r="B178" s="64"/>
      <x:c r="C178" s="68" t="str">
        <x:f>IF(B178="","",IFERROR(INDEX(Planos_Contratos!$B$4:$B$203,MATCH(B178,Planos_Contratos!$A$4:$A$203,0)),""))</x:f>
      </x:c>
      <x:c r="D178" s="68" t="str">
        <x:f>IF(B178="","",IFERROR(INDEX(Planos_Contratos!$C$4:$C$203,MATCH(B178,Planos_Contratos!$A$4:$A$203,0)),""))</x:f>
      </x:c>
      <x:c r="E178" s="72"/>
      <x:c r="F178" s="72"/>
      <x:c r="G178" s="92" t="str">
        <x:f>IF(B178="","",IFERROR(INDEX(Planos_Contratos!$L$4:$L$203,MATCH(B178,Planos_Contratos!$A$4:$A$203,0))/MAX(1,INDEX(Planos_Contratos!$M$4:$M$203,MATCH(B178,Planos_Contratos!$A$4:$A$203,0))),""))</x:f>
      </x:c>
      <x:c r="H178" s="112"/>
      <x:c r="I178" s="92" t="str">
        <x:f t="shared" si="5"/>
      </x:c>
      <x:c r="J178" s="68" t="str">
        <x:f>IF(B178="","",IFERROR(INDEX(Planos_Contratos!$I$4:$I$203,MATCH(B178,Planos_Contratos!$A$4:$A$203,0)),""))</x:f>
      </x:c>
      <x:c r="K178" s="70"/>
      <x:c r="L178" s="96" t="str">
        <x:f>IF(B178="","",IFERROR(INDEX(Planos_Contratos!$M$4:$M$203,MATCH(B178,Planos_Contratos!$A$4:$A$203,0)),""))</x:f>
      </x:c>
      <x:c r="M178" s="64"/>
    </x:row>
    <x:row r="179" ht="20" customHeight="1">
      <x:c r="A179" s="68" t="str">
        <x:f t="shared" si="4"/>
      </x:c>
      <x:c r="B179" s="64"/>
      <x:c r="C179" s="68" t="str">
        <x:f>IF(B179="","",IFERROR(INDEX(Planos_Contratos!$B$4:$B$203,MATCH(B179,Planos_Contratos!$A$4:$A$203,0)),""))</x:f>
      </x:c>
      <x:c r="D179" s="68" t="str">
        <x:f>IF(B179="","",IFERROR(INDEX(Planos_Contratos!$C$4:$C$203,MATCH(B179,Planos_Contratos!$A$4:$A$203,0)),""))</x:f>
      </x:c>
      <x:c r="E179" s="72"/>
      <x:c r="F179" s="72"/>
      <x:c r="G179" s="92" t="str">
        <x:f>IF(B179="","",IFERROR(INDEX(Planos_Contratos!$L$4:$L$203,MATCH(B179,Planos_Contratos!$A$4:$A$203,0))/MAX(1,INDEX(Planos_Contratos!$M$4:$M$203,MATCH(B179,Planos_Contratos!$A$4:$A$203,0))),""))</x:f>
      </x:c>
      <x:c r="H179" s="112"/>
      <x:c r="I179" s="92" t="str">
        <x:f t="shared" si="5"/>
      </x:c>
      <x:c r="J179" s="68" t="str">
        <x:f>IF(B179="","",IFERROR(INDEX(Planos_Contratos!$I$4:$I$203,MATCH(B179,Planos_Contratos!$A$4:$A$203,0)),""))</x:f>
      </x:c>
      <x:c r="K179" s="70"/>
      <x:c r="L179" s="96" t="str">
        <x:f>IF(B179="","",IFERROR(INDEX(Planos_Contratos!$M$4:$M$203,MATCH(B179,Planos_Contratos!$A$4:$A$203,0)),""))</x:f>
      </x:c>
      <x:c r="M179" s="64"/>
    </x:row>
    <x:row r="180" ht="20" customHeight="1">
      <x:c r="A180" s="68" t="str">
        <x:f t="shared" si="4"/>
      </x:c>
      <x:c r="B180" s="64"/>
      <x:c r="C180" s="68" t="str">
        <x:f>IF(B180="","",IFERROR(INDEX(Planos_Contratos!$B$4:$B$203,MATCH(B180,Planos_Contratos!$A$4:$A$203,0)),""))</x:f>
      </x:c>
      <x:c r="D180" s="68" t="str">
        <x:f>IF(B180="","",IFERROR(INDEX(Planos_Contratos!$C$4:$C$203,MATCH(B180,Planos_Contratos!$A$4:$A$203,0)),""))</x:f>
      </x:c>
      <x:c r="E180" s="72"/>
      <x:c r="F180" s="72"/>
      <x:c r="G180" s="92" t="str">
        <x:f>IF(B180="","",IFERROR(INDEX(Planos_Contratos!$L$4:$L$203,MATCH(B180,Planos_Contratos!$A$4:$A$203,0))/MAX(1,INDEX(Planos_Contratos!$M$4:$M$203,MATCH(B180,Planos_Contratos!$A$4:$A$203,0))),""))</x:f>
      </x:c>
      <x:c r="H180" s="112"/>
      <x:c r="I180" s="92" t="str">
        <x:f t="shared" si="5"/>
      </x:c>
      <x:c r="J180" s="68" t="str">
        <x:f>IF(B180="","",IFERROR(INDEX(Planos_Contratos!$I$4:$I$203,MATCH(B180,Planos_Contratos!$A$4:$A$203,0)),""))</x:f>
      </x:c>
      <x:c r="K180" s="70"/>
      <x:c r="L180" s="96" t="str">
        <x:f>IF(B180="","",IFERROR(INDEX(Planos_Contratos!$M$4:$M$203,MATCH(B180,Planos_Contratos!$A$4:$A$203,0)),""))</x:f>
      </x:c>
      <x:c r="M180" s="64"/>
    </x:row>
    <x:row r="181" ht="20" customHeight="1">
      <x:c r="A181" s="68" t="str">
        <x:f t="shared" si="4"/>
      </x:c>
      <x:c r="B181" s="64"/>
      <x:c r="C181" s="68" t="str">
        <x:f>IF(B181="","",IFERROR(INDEX(Planos_Contratos!$B$4:$B$203,MATCH(B181,Planos_Contratos!$A$4:$A$203,0)),""))</x:f>
      </x:c>
      <x:c r="D181" s="68" t="str">
        <x:f>IF(B181="","",IFERROR(INDEX(Planos_Contratos!$C$4:$C$203,MATCH(B181,Planos_Contratos!$A$4:$A$203,0)),""))</x:f>
      </x:c>
      <x:c r="E181" s="72"/>
      <x:c r="F181" s="72"/>
      <x:c r="G181" s="92" t="str">
        <x:f>IF(B181="","",IFERROR(INDEX(Planos_Contratos!$L$4:$L$203,MATCH(B181,Planos_Contratos!$A$4:$A$203,0))/MAX(1,INDEX(Planos_Contratos!$M$4:$M$203,MATCH(B181,Planos_Contratos!$A$4:$A$203,0))),""))</x:f>
      </x:c>
      <x:c r="H181" s="112"/>
      <x:c r="I181" s="92" t="str">
        <x:f t="shared" si="5"/>
      </x:c>
      <x:c r="J181" s="68" t="str">
        <x:f>IF(B181="","",IFERROR(INDEX(Planos_Contratos!$I$4:$I$203,MATCH(B181,Planos_Contratos!$A$4:$A$203,0)),""))</x:f>
      </x:c>
      <x:c r="K181" s="70"/>
      <x:c r="L181" s="96" t="str">
        <x:f>IF(B181="","",IFERROR(INDEX(Planos_Contratos!$M$4:$M$203,MATCH(B181,Planos_Contratos!$A$4:$A$203,0)),""))</x:f>
      </x:c>
      <x:c r="M181" s="64"/>
    </x:row>
    <x:row r="182" ht="20" customHeight="1">
      <x:c r="A182" s="68" t="str">
        <x:f t="shared" si="4"/>
      </x:c>
      <x:c r="B182" s="64"/>
      <x:c r="C182" s="68" t="str">
        <x:f>IF(B182="","",IFERROR(INDEX(Planos_Contratos!$B$4:$B$203,MATCH(B182,Planos_Contratos!$A$4:$A$203,0)),""))</x:f>
      </x:c>
      <x:c r="D182" s="68" t="str">
        <x:f>IF(B182="","",IFERROR(INDEX(Planos_Contratos!$C$4:$C$203,MATCH(B182,Planos_Contratos!$A$4:$A$203,0)),""))</x:f>
      </x:c>
      <x:c r="E182" s="72"/>
      <x:c r="F182" s="72"/>
      <x:c r="G182" s="92" t="str">
        <x:f>IF(B182="","",IFERROR(INDEX(Planos_Contratos!$L$4:$L$203,MATCH(B182,Planos_Contratos!$A$4:$A$203,0))/MAX(1,INDEX(Planos_Contratos!$M$4:$M$203,MATCH(B182,Planos_Contratos!$A$4:$A$203,0))),""))</x:f>
      </x:c>
      <x:c r="H182" s="112"/>
      <x:c r="I182" s="92" t="str">
        <x:f t="shared" si="5"/>
      </x:c>
      <x:c r="J182" s="68" t="str">
        <x:f>IF(B182="","",IFERROR(INDEX(Planos_Contratos!$I$4:$I$203,MATCH(B182,Planos_Contratos!$A$4:$A$203,0)),""))</x:f>
      </x:c>
      <x:c r="K182" s="70"/>
      <x:c r="L182" s="96" t="str">
        <x:f>IF(B182="","",IFERROR(INDEX(Planos_Contratos!$M$4:$M$203,MATCH(B182,Planos_Contratos!$A$4:$A$203,0)),""))</x:f>
      </x:c>
      <x:c r="M182" s="64"/>
    </x:row>
    <x:row r="183" ht="20" customHeight="1">
      <x:c r="A183" s="68" t="str">
        <x:f t="shared" si="4"/>
      </x:c>
      <x:c r="B183" s="64"/>
      <x:c r="C183" s="68" t="str">
        <x:f>IF(B183="","",IFERROR(INDEX(Planos_Contratos!$B$4:$B$203,MATCH(B183,Planos_Contratos!$A$4:$A$203,0)),""))</x:f>
      </x:c>
      <x:c r="D183" s="68" t="str">
        <x:f>IF(B183="","",IFERROR(INDEX(Planos_Contratos!$C$4:$C$203,MATCH(B183,Planos_Contratos!$A$4:$A$203,0)),""))</x:f>
      </x:c>
      <x:c r="E183" s="72"/>
      <x:c r="F183" s="72"/>
      <x:c r="G183" s="92" t="str">
        <x:f>IF(B183="","",IFERROR(INDEX(Planos_Contratos!$L$4:$L$203,MATCH(B183,Planos_Contratos!$A$4:$A$203,0))/MAX(1,INDEX(Planos_Contratos!$M$4:$M$203,MATCH(B183,Planos_Contratos!$A$4:$A$203,0))),""))</x:f>
      </x:c>
      <x:c r="H183" s="112"/>
      <x:c r="I183" s="92" t="str">
        <x:f t="shared" si="5"/>
      </x:c>
      <x:c r="J183" s="68" t="str">
        <x:f>IF(B183="","",IFERROR(INDEX(Planos_Contratos!$I$4:$I$203,MATCH(B183,Planos_Contratos!$A$4:$A$203,0)),""))</x:f>
      </x:c>
      <x:c r="K183" s="70"/>
      <x:c r="L183" s="96" t="str">
        <x:f>IF(B183="","",IFERROR(INDEX(Planos_Contratos!$M$4:$M$203,MATCH(B183,Planos_Contratos!$A$4:$A$203,0)),""))</x:f>
      </x:c>
      <x:c r="M183" s="64"/>
    </x:row>
    <x:row r="184" ht="20" customHeight="1">
      <x:c r="A184" s="68" t="str">
        <x:f t="shared" si="4"/>
      </x:c>
      <x:c r="B184" s="64"/>
      <x:c r="C184" s="68" t="str">
        <x:f>IF(B184="","",IFERROR(INDEX(Planos_Contratos!$B$4:$B$203,MATCH(B184,Planos_Contratos!$A$4:$A$203,0)),""))</x:f>
      </x:c>
      <x:c r="D184" s="68" t="str">
        <x:f>IF(B184="","",IFERROR(INDEX(Planos_Contratos!$C$4:$C$203,MATCH(B184,Planos_Contratos!$A$4:$A$203,0)),""))</x:f>
      </x:c>
      <x:c r="E184" s="72"/>
      <x:c r="F184" s="72"/>
      <x:c r="G184" s="92" t="str">
        <x:f>IF(B184="","",IFERROR(INDEX(Planos_Contratos!$L$4:$L$203,MATCH(B184,Planos_Contratos!$A$4:$A$203,0))/MAX(1,INDEX(Planos_Contratos!$M$4:$M$203,MATCH(B184,Planos_Contratos!$A$4:$A$203,0))),""))</x:f>
      </x:c>
      <x:c r="H184" s="112"/>
      <x:c r="I184" s="92" t="str">
        <x:f t="shared" si="5"/>
      </x:c>
      <x:c r="J184" s="68" t="str">
        <x:f>IF(B184="","",IFERROR(INDEX(Planos_Contratos!$I$4:$I$203,MATCH(B184,Planos_Contratos!$A$4:$A$203,0)),""))</x:f>
      </x:c>
      <x:c r="K184" s="70"/>
      <x:c r="L184" s="96" t="str">
        <x:f>IF(B184="","",IFERROR(INDEX(Planos_Contratos!$M$4:$M$203,MATCH(B184,Planos_Contratos!$A$4:$A$203,0)),""))</x:f>
      </x:c>
      <x:c r="M184" s="64"/>
    </x:row>
    <x:row r="185" ht="20" customHeight="1">
      <x:c r="A185" s="68" t="str">
        <x:f t="shared" si="4"/>
      </x:c>
      <x:c r="B185" s="64"/>
      <x:c r="C185" s="68" t="str">
        <x:f>IF(B185="","",IFERROR(INDEX(Planos_Contratos!$B$4:$B$203,MATCH(B185,Planos_Contratos!$A$4:$A$203,0)),""))</x:f>
      </x:c>
      <x:c r="D185" s="68" t="str">
        <x:f>IF(B185="","",IFERROR(INDEX(Planos_Contratos!$C$4:$C$203,MATCH(B185,Planos_Contratos!$A$4:$A$203,0)),""))</x:f>
      </x:c>
      <x:c r="E185" s="72"/>
      <x:c r="F185" s="72"/>
      <x:c r="G185" s="92" t="str">
        <x:f>IF(B185="","",IFERROR(INDEX(Planos_Contratos!$L$4:$L$203,MATCH(B185,Planos_Contratos!$A$4:$A$203,0))/MAX(1,INDEX(Planos_Contratos!$M$4:$M$203,MATCH(B185,Planos_Contratos!$A$4:$A$203,0))),""))</x:f>
      </x:c>
      <x:c r="H185" s="112"/>
      <x:c r="I185" s="92" t="str">
        <x:f t="shared" si="5"/>
      </x:c>
      <x:c r="J185" s="68" t="str">
        <x:f>IF(B185="","",IFERROR(INDEX(Planos_Contratos!$I$4:$I$203,MATCH(B185,Planos_Contratos!$A$4:$A$203,0)),""))</x:f>
      </x:c>
      <x:c r="K185" s="70"/>
      <x:c r="L185" s="96" t="str">
        <x:f>IF(B185="","",IFERROR(INDEX(Planos_Contratos!$M$4:$M$203,MATCH(B185,Planos_Contratos!$A$4:$A$203,0)),""))</x:f>
      </x:c>
      <x:c r="M185" s="64"/>
    </x:row>
    <x:row r="186" ht="20" customHeight="1">
      <x:c r="A186" s="68" t="str">
        <x:f t="shared" si="4"/>
      </x:c>
      <x:c r="B186" s="64"/>
      <x:c r="C186" s="68" t="str">
        <x:f>IF(B186="","",IFERROR(INDEX(Planos_Contratos!$B$4:$B$203,MATCH(B186,Planos_Contratos!$A$4:$A$203,0)),""))</x:f>
      </x:c>
      <x:c r="D186" s="68" t="str">
        <x:f>IF(B186="","",IFERROR(INDEX(Planos_Contratos!$C$4:$C$203,MATCH(B186,Planos_Contratos!$A$4:$A$203,0)),""))</x:f>
      </x:c>
      <x:c r="E186" s="72"/>
      <x:c r="F186" s="72"/>
      <x:c r="G186" s="92" t="str">
        <x:f>IF(B186="","",IFERROR(INDEX(Planos_Contratos!$L$4:$L$203,MATCH(B186,Planos_Contratos!$A$4:$A$203,0))/MAX(1,INDEX(Planos_Contratos!$M$4:$M$203,MATCH(B186,Planos_Contratos!$A$4:$A$203,0))),""))</x:f>
      </x:c>
      <x:c r="H186" s="112"/>
      <x:c r="I186" s="92" t="str">
        <x:f t="shared" si="5"/>
      </x:c>
      <x:c r="J186" s="68" t="str">
        <x:f>IF(B186="","",IFERROR(INDEX(Planos_Contratos!$I$4:$I$203,MATCH(B186,Planos_Contratos!$A$4:$A$203,0)),""))</x:f>
      </x:c>
      <x:c r="K186" s="70"/>
      <x:c r="L186" s="96" t="str">
        <x:f>IF(B186="","",IFERROR(INDEX(Planos_Contratos!$M$4:$M$203,MATCH(B186,Planos_Contratos!$A$4:$A$203,0)),""))</x:f>
      </x:c>
      <x:c r="M186" s="64"/>
    </x:row>
    <x:row r="187" ht="20" customHeight="1">
      <x:c r="A187" s="68" t="str">
        <x:f t="shared" si="4"/>
      </x:c>
      <x:c r="B187" s="64"/>
      <x:c r="C187" s="68" t="str">
        <x:f>IF(B187="","",IFERROR(INDEX(Planos_Contratos!$B$4:$B$203,MATCH(B187,Planos_Contratos!$A$4:$A$203,0)),""))</x:f>
      </x:c>
      <x:c r="D187" s="68" t="str">
        <x:f>IF(B187="","",IFERROR(INDEX(Planos_Contratos!$C$4:$C$203,MATCH(B187,Planos_Contratos!$A$4:$A$203,0)),""))</x:f>
      </x:c>
      <x:c r="E187" s="72"/>
      <x:c r="F187" s="72"/>
      <x:c r="G187" s="92" t="str">
        <x:f>IF(B187="","",IFERROR(INDEX(Planos_Contratos!$L$4:$L$203,MATCH(B187,Planos_Contratos!$A$4:$A$203,0))/MAX(1,INDEX(Planos_Contratos!$M$4:$M$203,MATCH(B187,Planos_Contratos!$A$4:$A$203,0))),""))</x:f>
      </x:c>
      <x:c r="H187" s="112"/>
      <x:c r="I187" s="92" t="str">
        <x:f t="shared" si="5"/>
      </x:c>
      <x:c r="J187" s="68" t="str">
        <x:f>IF(B187="","",IFERROR(INDEX(Planos_Contratos!$I$4:$I$203,MATCH(B187,Planos_Contratos!$A$4:$A$203,0)),""))</x:f>
      </x:c>
      <x:c r="K187" s="70"/>
      <x:c r="L187" s="96" t="str">
        <x:f>IF(B187="","",IFERROR(INDEX(Planos_Contratos!$M$4:$M$203,MATCH(B187,Planos_Contratos!$A$4:$A$203,0)),""))</x:f>
      </x:c>
      <x:c r="M187" s="64"/>
    </x:row>
    <x:row r="188" ht="20" customHeight="1">
      <x:c r="A188" s="68" t="str">
        <x:f t="shared" si="4"/>
      </x:c>
      <x:c r="B188" s="64"/>
      <x:c r="C188" s="68" t="str">
        <x:f>IF(B188="","",IFERROR(INDEX(Planos_Contratos!$B$4:$B$203,MATCH(B188,Planos_Contratos!$A$4:$A$203,0)),""))</x:f>
      </x:c>
      <x:c r="D188" s="68" t="str">
        <x:f>IF(B188="","",IFERROR(INDEX(Planos_Contratos!$C$4:$C$203,MATCH(B188,Planos_Contratos!$A$4:$A$203,0)),""))</x:f>
      </x:c>
      <x:c r="E188" s="72"/>
      <x:c r="F188" s="72"/>
      <x:c r="G188" s="92" t="str">
        <x:f>IF(B188="","",IFERROR(INDEX(Planos_Contratos!$L$4:$L$203,MATCH(B188,Planos_Contratos!$A$4:$A$203,0))/MAX(1,INDEX(Planos_Contratos!$M$4:$M$203,MATCH(B188,Planos_Contratos!$A$4:$A$203,0))),""))</x:f>
      </x:c>
      <x:c r="H188" s="112"/>
      <x:c r="I188" s="92" t="str">
        <x:f t="shared" si="5"/>
      </x:c>
      <x:c r="J188" s="68" t="str">
        <x:f>IF(B188="","",IFERROR(INDEX(Planos_Contratos!$I$4:$I$203,MATCH(B188,Planos_Contratos!$A$4:$A$203,0)),""))</x:f>
      </x:c>
      <x:c r="K188" s="70"/>
      <x:c r="L188" s="96" t="str">
        <x:f>IF(B188="","",IFERROR(INDEX(Planos_Contratos!$M$4:$M$203,MATCH(B188,Planos_Contratos!$A$4:$A$203,0)),""))</x:f>
      </x:c>
      <x:c r="M188" s="64"/>
    </x:row>
    <x:row r="189" ht="20" customHeight="1">
      <x:c r="A189" s="68" t="str">
        <x:f t="shared" si="4"/>
      </x:c>
      <x:c r="B189" s="64"/>
      <x:c r="C189" s="68" t="str">
        <x:f>IF(B189="","",IFERROR(INDEX(Planos_Contratos!$B$4:$B$203,MATCH(B189,Planos_Contratos!$A$4:$A$203,0)),""))</x:f>
      </x:c>
      <x:c r="D189" s="68" t="str">
        <x:f>IF(B189="","",IFERROR(INDEX(Planos_Contratos!$C$4:$C$203,MATCH(B189,Planos_Contratos!$A$4:$A$203,0)),""))</x:f>
      </x:c>
      <x:c r="E189" s="72"/>
      <x:c r="F189" s="72"/>
      <x:c r="G189" s="92" t="str">
        <x:f>IF(B189="","",IFERROR(INDEX(Planos_Contratos!$L$4:$L$203,MATCH(B189,Planos_Contratos!$A$4:$A$203,0))/MAX(1,INDEX(Planos_Contratos!$M$4:$M$203,MATCH(B189,Planos_Contratos!$A$4:$A$203,0))),""))</x:f>
      </x:c>
      <x:c r="H189" s="112"/>
      <x:c r="I189" s="92" t="str">
        <x:f t="shared" si="5"/>
      </x:c>
      <x:c r="J189" s="68" t="str">
        <x:f>IF(B189="","",IFERROR(INDEX(Planos_Contratos!$I$4:$I$203,MATCH(B189,Planos_Contratos!$A$4:$A$203,0)),""))</x:f>
      </x:c>
      <x:c r="K189" s="70"/>
      <x:c r="L189" s="96" t="str">
        <x:f>IF(B189="","",IFERROR(INDEX(Planos_Contratos!$M$4:$M$203,MATCH(B189,Planos_Contratos!$A$4:$A$203,0)),""))</x:f>
      </x:c>
      <x:c r="M189" s="64"/>
    </x:row>
    <x:row r="190" ht="20" customHeight="1">
      <x:c r="A190" s="68" t="str">
        <x:f t="shared" si="4"/>
      </x:c>
      <x:c r="B190" s="64"/>
      <x:c r="C190" s="68" t="str">
        <x:f>IF(B190="","",IFERROR(INDEX(Planos_Contratos!$B$4:$B$203,MATCH(B190,Planos_Contratos!$A$4:$A$203,0)),""))</x:f>
      </x:c>
      <x:c r="D190" s="68" t="str">
        <x:f>IF(B190="","",IFERROR(INDEX(Planos_Contratos!$C$4:$C$203,MATCH(B190,Planos_Contratos!$A$4:$A$203,0)),""))</x:f>
      </x:c>
      <x:c r="E190" s="72"/>
      <x:c r="F190" s="72"/>
      <x:c r="G190" s="92" t="str">
        <x:f>IF(B190="","",IFERROR(INDEX(Planos_Contratos!$L$4:$L$203,MATCH(B190,Planos_Contratos!$A$4:$A$203,0))/MAX(1,INDEX(Planos_Contratos!$M$4:$M$203,MATCH(B190,Planos_Contratos!$A$4:$A$203,0))),""))</x:f>
      </x:c>
      <x:c r="H190" s="112"/>
      <x:c r="I190" s="92" t="str">
        <x:f t="shared" si="5"/>
      </x:c>
      <x:c r="J190" s="68" t="str">
        <x:f>IF(B190="","",IFERROR(INDEX(Planos_Contratos!$I$4:$I$203,MATCH(B190,Planos_Contratos!$A$4:$A$203,0)),""))</x:f>
      </x:c>
      <x:c r="K190" s="70"/>
      <x:c r="L190" s="96" t="str">
        <x:f>IF(B190="","",IFERROR(INDEX(Planos_Contratos!$M$4:$M$203,MATCH(B190,Planos_Contratos!$A$4:$A$203,0)),""))</x:f>
      </x:c>
      <x:c r="M190" s="64"/>
    </x:row>
    <x:row r="191" ht="20" customHeight="1">
      <x:c r="A191" s="68" t="str">
        <x:f t="shared" si="4"/>
      </x:c>
      <x:c r="B191" s="64"/>
      <x:c r="C191" s="68" t="str">
        <x:f>IF(B191="","",IFERROR(INDEX(Planos_Contratos!$B$4:$B$203,MATCH(B191,Planos_Contratos!$A$4:$A$203,0)),""))</x:f>
      </x:c>
      <x:c r="D191" s="68" t="str">
        <x:f>IF(B191="","",IFERROR(INDEX(Planos_Contratos!$C$4:$C$203,MATCH(B191,Planos_Contratos!$A$4:$A$203,0)),""))</x:f>
      </x:c>
      <x:c r="E191" s="72"/>
      <x:c r="F191" s="72"/>
      <x:c r="G191" s="92" t="str">
        <x:f>IF(B191="","",IFERROR(INDEX(Planos_Contratos!$L$4:$L$203,MATCH(B191,Planos_Contratos!$A$4:$A$203,0))/MAX(1,INDEX(Planos_Contratos!$M$4:$M$203,MATCH(B191,Planos_Contratos!$A$4:$A$203,0))),""))</x:f>
      </x:c>
      <x:c r="H191" s="112"/>
      <x:c r="I191" s="92" t="str">
        <x:f t="shared" si="5"/>
      </x:c>
      <x:c r="J191" s="68" t="str">
        <x:f>IF(B191="","",IFERROR(INDEX(Planos_Contratos!$I$4:$I$203,MATCH(B191,Planos_Contratos!$A$4:$A$203,0)),""))</x:f>
      </x:c>
      <x:c r="K191" s="70"/>
      <x:c r="L191" s="96" t="str">
        <x:f>IF(B191="","",IFERROR(INDEX(Planos_Contratos!$M$4:$M$203,MATCH(B191,Planos_Contratos!$A$4:$A$203,0)),""))</x:f>
      </x:c>
      <x:c r="M191" s="64"/>
    </x:row>
    <x:row r="192" ht="20" customHeight="1">
      <x:c r="A192" s="68" t="str">
        <x:f t="shared" si="4"/>
      </x:c>
      <x:c r="B192" s="64"/>
      <x:c r="C192" s="68" t="str">
        <x:f>IF(B192="","",IFERROR(INDEX(Planos_Contratos!$B$4:$B$203,MATCH(B192,Planos_Contratos!$A$4:$A$203,0)),""))</x:f>
      </x:c>
      <x:c r="D192" s="68" t="str">
        <x:f>IF(B192="","",IFERROR(INDEX(Planos_Contratos!$C$4:$C$203,MATCH(B192,Planos_Contratos!$A$4:$A$203,0)),""))</x:f>
      </x:c>
      <x:c r="E192" s="72"/>
      <x:c r="F192" s="72"/>
      <x:c r="G192" s="92" t="str">
        <x:f>IF(B192="","",IFERROR(INDEX(Planos_Contratos!$L$4:$L$203,MATCH(B192,Planos_Contratos!$A$4:$A$203,0))/MAX(1,INDEX(Planos_Contratos!$M$4:$M$203,MATCH(B192,Planos_Contratos!$A$4:$A$203,0))),""))</x:f>
      </x:c>
      <x:c r="H192" s="112"/>
      <x:c r="I192" s="92" t="str">
        <x:f t="shared" si="5"/>
      </x:c>
      <x:c r="J192" s="68" t="str">
        <x:f>IF(B192="","",IFERROR(INDEX(Planos_Contratos!$I$4:$I$203,MATCH(B192,Planos_Contratos!$A$4:$A$203,0)),""))</x:f>
      </x:c>
      <x:c r="K192" s="70"/>
      <x:c r="L192" s="96" t="str">
        <x:f>IF(B192="","",IFERROR(INDEX(Planos_Contratos!$M$4:$M$203,MATCH(B192,Planos_Contratos!$A$4:$A$203,0)),""))</x:f>
      </x:c>
      <x:c r="M192" s="64"/>
    </x:row>
    <x:row r="193" ht="20" customHeight="1">
      <x:c r="A193" s="68" t="str">
        <x:f t="shared" si="4"/>
      </x:c>
      <x:c r="B193" s="64"/>
      <x:c r="C193" s="68" t="str">
        <x:f>IF(B193="","",IFERROR(INDEX(Planos_Contratos!$B$4:$B$203,MATCH(B193,Planos_Contratos!$A$4:$A$203,0)),""))</x:f>
      </x:c>
      <x:c r="D193" s="68" t="str">
        <x:f>IF(B193="","",IFERROR(INDEX(Planos_Contratos!$C$4:$C$203,MATCH(B193,Planos_Contratos!$A$4:$A$203,0)),""))</x:f>
      </x:c>
      <x:c r="E193" s="72"/>
      <x:c r="F193" s="72"/>
      <x:c r="G193" s="92" t="str">
        <x:f>IF(B193="","",IFERROR(INDEX(Planos_Contratos!$L$4:$L$203,MATCH(B193,Planos_Contratos!$A$4:$A$203,0))/MAX(1,INDEX(Planos_Contratos!$M$4:$M$203,MATCH(B193,Planos_Contratos!$A$4:$A$203,0))),""))</x:f>
      </x:c>
      <x:c r="H193" s="112"/>
      <x:c r="I193" s="92" t="str">
        <x:f t="shared" si="5"/>
      </x:c>
      <x:c r="J193" s="68" t="str">
        <x:f>IF(B193="","",IFERROR(INDEX(Planos_Contratos!$I$4:$I$203,MATCH(B193,Planos_Contratos!$A$4:$A$203,0)),""))</x:f>
      </x:c>
      <x:c r="K193" s="70"/>
      <x:c r="L193" s="96" t="str">
        <x:f>IF(B193="","",IFERROR(INDEX(Planos_Contratos!$M$4:$M$203,MATCH(B193,Planos_Contratos!$A$4:$A$203,0)),""))</x:f>
      </x:c>
      <x:c r="M193" s="64"/>
    </x:row>
    <x:row r="194" ht="20" customHeight="1">
      <x:c r="A194" s="68" t="str">
        <x:f t="shared" si="4"/>
      </x:c>
      <x:c r="B194" s="64"/>
      <x:c r="C194" s="68" t="str">
        <x:f>IF(B194="","",IFERROR(INDEX(Planos_Contratos!$B$4:$B$203,MATCH(B194,Planos_Contratos!$A$4:$A$203,0)),""))</x:f>
      </x:c>
      <x:c r="D194" s="68" t="str">
        <x:f>IF(B194="","",IFERROR(INDEX(Planos_Contratos!$C$4:$C$203,MATCH(B194,Planos_Contratos!$A$4:$A$203,0)),""))</x:f>
      </x:c>
      <x:c r="E194" s="72"/>
      <x:c r="F194" s="72"/>
      <x:c r="G194" s="92" t="str">
        <x:f>IF(B194="","",IFERROR(INDEX(Planos_Contratos!$L$4:$L$203,MATCH(B194,Planos_Contratos!$A$4:$A$203,0))/MAX(1,INDEX(Planos_Contratos!$M$4:$M$203,MATCH(B194,Planos_Contratos!$A$4:$A$203,0))),""))</x:f>
      </x:c>
      <x:c r="H194" s="112"/>
      <x:c r="I194" s="92" t="str">
        <x:f t="shared" si="5"/>
      </x:c>
      <x:c r="J194" s="68" t="str">
        <x:f>IF(B194="","",IFERROR(INDEX(Planos_Contratos!$I$4:$I$203,MATCH(B194,Planos_Contratos!$A$4:$A$203,0)),""))</x:f>
      </x:c>
      <x:c r="K194" s="70"/>
      <x:c r="L194" s="96" t="str">
        <x:f>IF(B194="","",IFERROR(INDEX(Planos_Contratos!$M$4:$M$203,MATCH(B194,Planos_Contratos!$A$4:$A$203,0)),""))</x:f>
      </x:c>
      <x:c r="M194" s="64"/>
    </x:row>
    <x:row r="195" ht="20" customHeight="1">
      <x:c r="A195" s="68" t="str">
        <x:f t="shared" si="4"/>
      </x:c>
      <x:c r="B195" s="64"/>
      <x:c r="C195" s="68" t="str">
        <x:f>IF(B195="","",IFERROR(INDEX(Planos_Contratos!$B$4:$B$203,MATCH(B195,Planos_Contratos!$A$4:$A$203,0)),""))</x:f>
      </x:c>
      <x:c r="D195" s="68" t="str">
        <x:f>IF(B195="","",IFERROR(INDEX(Planos_Contratos!$C$4:$C$203,MATCH(B195,Planos_Contratos!$A$4:$A$203,0)),""))</x:f>
      </x:c>
      <x:c r="E195" s="72"/>
      <x:c r="F195" s="72"/>
      <x:c r="G195" s="92" t="str">
        <x:f>IF(B195="","",IFERROR(INDEX(Planos_Contratos!$L$4:$L$203,MATCH(B195,Planos_Contratos!$A$4:$A$203,0))/MAX(1,INDEX(Planos_Contratos!$M$4:$M$203,MATCH(B195,Planos_Contratos!$A$4:$A$203,0))),""))</x:f>
      </x:c>
      <x:c r="H195" s="112"/>
      <x:c r="I195" s="92" t="str">
        <x:f t="shared" si="5"/>
      </x:c>
      <x:c r="J195" s="68" t="str">
        <x:f>IF(B195="","",IFERROR(INDEX(Planos_Contratos!$I$4:$I$203,MATCH(B195,Planos_Contratos!$A$4:$A$203,0)),""))</x:f>
      </x:c>
      <x:c r="K195" s="70"/>
      <x:c r="L195" s="96" t="str">
        <x:f>IF(B195="","",IFERROR(INDEX(Planos_Contratos!$M$4:$M$203,MATCH(B195,Planos_Contratos!$A$4:$A$203,0)),""))</x:f>
      </x:c>
      <x:c r="M195" s="64"/>
    </x:row>
    <x:row r="196" ht="20" customHeight="1">
      <x:c r="A196" s="68" t="str">
        <x:f t="shared" ref="A196:A259" si="6">IF(B196="","",ROW()-3)</x:f>
      </x:c>
      <x:c r="B196" s="64"/>
      <x:c r="C196" s="68" t="str">
        <x:f>IF(B196="","",IFERROR(INDEX(Planos_Contratos!$B$4:$B$203,MATCH(B196,Planos_Contratos!$A$4:$A$203,0)),""))</x:f>
      </x:c>
      <x:c r="D196" s="68" t="str">
        <x:f>IF(B196="","",IFERROR(INDEX(Planos_Contratos!$C$4:$C$203,MATCH(B196,Planos_Contratos!$A$4:$A$203,0)),""))</x:f>
      </x:c>
      <x:c r="E196" s="72"/>
      <x:c r="F196" s="72"/>
      <x:c r="G196" s="92" t="str">
        <x:f>IF(B196="","",IFERROR(INDEX(Planos_Contratos!$L$4:$L$203,MATCH(B196,Planos_Contratos!$A$4:$A$203,0))/MAX(1,INDEX(Planos_Contratos!$M$4:$M$203,MATCH(B196,Planos_Contratos!$A$4:$A$203,0))),""))</x:f>
      </x:c>
      <x:c r="H196" s="112"/>
      <x:c r="I196" s="92" t="str">
        <x:f t="shared" ref="I196:I259" si="7">IF(G196="","",G196-H196)</x:f>
      </x:c>
      <x:c r="J196" s="68" t="str">
        <x:f>IF(B196="","",IFERROR(INDEX(Planos_Contratos!$I$4:$I$203,MATCH(B196,Planos_Contratos!$A$4:$A$203,0)),""))</x:f>
      </x:c>
      <x:c r="K196" s="70"/>
      <x:c r="L196" s="96" t="str">
        <x:f>IF(B196="","",IFERROR(INDEX(Planos_Contratos!$M$4:$M$203,MATCH(B196,Planos_Contratos!$A$4:$A$203,0)),""))</x:f>
      </x:c>
      <x:c r="M196" s="64"/>
    </x:row>
    <x:row r="197" ht="20" customHeight="1">
      <x:c r="A197" s="68" t="str">
        <x:f t="shared" si="6"/>
      </x:c>
      <x:c r="B197" s="64"/>
      <x:c r="C197" s="68" t="str">
        <x:f>IF(B197="","",IFERROR(INDEX(Planos_Contratos!$B$4:$B$203,MATCH(B197,Planos_Contratos!$A$4:$A$203,0)),""))</x:f>
      </x:c>
      <x:c r="D197" s="68" t="str">
        <x:f>IF(B197="","",IFERROR(INDEX(Planos_Contratos!$C$4:$C$203,MATCH(B197,Planos_Contratos!$A$4:$A$203,0)),""))</x:f>
      </x:c>
      <x:c r="E197" s="72"/>
      <x:c r="F197" s="72"/>
      <x:c r="G197" s="92" t="str">
        <x:f>IF(B197="","",IFERROR(INDEX(Planos_Contratos!$L$4:$L$203,MATCH(B197,Planos_Contratos!$A$4:$A$203,0))/MAX(1,INDEX(Planos_Contratos!$M$4:$M$203,MATCH(B197,Planos_Contratos!$A$4:$A$203,0))),""))</x:f>
      </x:c>
      <x:c r="H197" s="112"/>
      <x:c r="I197" s="92" t="str">
        <x:f t="shared" si="7"/>
      </x:c>
      <x:c r="J197" s="68" t="str">
        <x:f>IF(B197="","",IFERROR(INDEX(Planos_Contratos!$I$4:$I$203,MATCH(B197,Planos_Contratos!$A$4:$A$203,0)),""))</x:f>
      </x:c>
      <x:c r="K197" s="70"/>
      <x:c r="L197" s="96" t="str">
        <x:f>IF(B197="","",IFERROR(INDEX(Planos_Contratos!$M$4:$M$203,MATCH(B197,Planos_Contratos!$A$4:$A$203,0)),""))</x:f>
      </x:c>
      <x:c r="M197" s="64"/>
    </x:row>
    <x:row r="198" ht="20" customHeight="1">
      <x:c r="A198" s="68" t="str">
        <x:f t="shared" si="6"/>
      </x:c>
      <x:c r="B198" s="64"/>
      <x:c r="C198" s="68" t="str">
        <x:f>IF(B198="","",IFERROR(INDEX(Planos_Contratos!$B$4:$B$203,MATCH(B198,Planos_Contratos!$A$4:$A$203,0)),""))</x:f>
      </x:c>
      <x:c r="D198" s="68" t="str">
        <x:f>IF(B198="","",IFERROR(INDEX(Planos_Contratos!$C$4:$C$203,MATCH(B198,Planos_Contratos!$A$4:$A$203,0)),""))</x:f>
      </x:c>
      <x:c r="E198" s="72"/>
      <x:c r="F198" s="72"/>
      <x:c r="G198" s="92" t="str">
        <x:f>IF(B198="","",IFERROR(INDEX(Planos_Contratos!$L$4:$L$203,MATCH(B198,Planos_Contratos!$A$4:$A$203,0))/MAX(1,INDEX(Planos_Contratos!$M$4:$M$203,MATCH(B198,Planos_Contratos!$A$4:$A$203,0))),""))</x:f>
      </x:c>
      <x:c r="H198" s="112"/>
      <x:c r="I198" s="92" t="str">
        <x:f t="shared" si="7"/>
      </x:c>
      <x:c r="J198" s="68" t="str">
        <x:f>IF(B198="","",IFERROR(INDEX(Planos_Contratos!$I$4:$I$203,MATCH(B198,Planos_Contratos!$A$4:$A$203,0)),""))</x:f>
      </x:c>
      <x:c r="K198" s="70"/>
      <x:c r="L198" s="96" t="str">
        <x:f>IF(B198="","",IFERROR(INDEX(Planos_Contratos!$M$4:$M$203,MATCH(B198,Planos_Contratos!$A$4:$A$203,0)),""))</x:f>
      </x:c>
      <x:c r="M198" s="64"/>
    </x:row>
    <x:row r="199" ht="20" customHeight="1">
      <x:c r="A199" s="68" t="str">
        <x:f t="shared" si="6"/>
      </x:c>
      <x:c r="B199" s="64"/>
      <x:c r="C199" s="68" t="str">
        <x:f>IF(B199="","",IFERROR(INDEX(Planos_Contratos!$B$4:$B$203,MATCH(B199,Planos_Contratos!$A$4:$A$203,0)),""))</x:f>
      </x:c>
      <x:c r="D199" s="68" t="str">
        <x:f>IF(B199="","",IFERROR(INDEX(Planos_Contratos!$C$4:$C$203,MATCH(B199,Planos_Contratos!$A$4:$A$203,0)),""))</x:f>
      </x:c>
      <x:c r="E199" s="72"/>
      <x:c r="F199" s="72"/>
      <x:c r="G199" s="92" t="str">
        <x:f>IF(B199="","",IFERROR(INDEX(Planos_Contratos!$L$4:$L$203,MATCH(B199,Planos_Contratos!$A$4:$A$203,0))/MAX(1,INDEX(Planos_Contratos!$M$4:$M$203,MATCH(B199,Planos_Contratos!$A$4:$A$203,0))),""))</x:f>
      </x:c>
      <x:c r="H199" s="112"/>
      <x:c r="I199" s="92" t="str">
        <x:f t="shared" si="7"/>
      </x:c>
      <x:c r="J199" s="68" t="str">
        <x:f>IF(B199="","",IFERROR(INDEX(Planos_Contratos!$I$4:$I$203,MATCH(B199,Planos_Contratos!$A$4:$A$203,0)),""))</x:f>
      </x:c>
      <x:c r="K199" s="70"/>
      <x:c r="L199" s="96" t="str">
        <x:f>IF(B199="","",IFERROR(INDEX(Planos_Contratos!$M$4:$M$203,MATCH(B199,Planos_Contratos!$A$4:$A$203,0)),""))</x:f>
      </x:c>
      <x:c r="M199" s="64"/>
    </x:row>
    <x:row r="200" ht="20" customHeight="1">
      <x:c r="A200" s="68" t="str">
        <x:f t="shared" si="6"/>
      </x:c>
      <x:c r="B200" s="64"/>
      <x:c r="C200" s="68" t="str">
        <x:f>IF(B200="","",IFERROR(INDEX(Planos_Contratos!$B$4:$B$203,MATCH(B200,Planos_Contratos!$A$4:$A$203,0)),""))</x:f>
      </x:c>
      <x:c r="D200" s="68" t="str">
        <x:f>IF(B200="","",IFERROR(INDEX(Planos_Contratos!$C$4:$C$203,MATCH(B200,Planos_Contratos!$A$4:$A$203,0)),""))</x:f>
      </x:c>
      <x:c r="E200" s="72"/>
      <x:c r="F200" s="72"/>
      <x:c r="G200" s="92" t="str">
        <x:f>IF(B200="","",IFERROR(INDEX(Planos_Contratos!$L$4:$L$203,MATCH(B200,Planos_Contratos!$A$4:$A$203,0))/MAX(1,INDEX(Planos_Contratos!$M$4:$M$203,MATCH(B200,Planos_Contratos!$A$4:$A$203,0))),""))</x:f>
      </x:c>
      <x:c r="H200" s="112"/>
      <x:c r="I200" s="92" t="str">
        <x:f t="shared" si="7"/>
      </x:c>
      <x:c r="J200" s="68" t="str">
        <x:f>IF(B200="","",IFERROR(INDEX(Planos_Contratos!$I$4:$I$203,MATCH(B200,Planos_Contratos!$A$4:$A$203,0)),""))</x:f>
      </x:c>
      <x:c r="K200" s="70"/>
      <x:c r="L200" s="96" t="str">
        <x:f>IF(B200="","",IFERROR(INDEX(Planos_Contratos!$M$4:$M$203,MATCH(B200,Planos_Contratos!$A$4:$A$203,0)),""))</x:f>
      </x:c>
      <x:c r="M200" s="64"/>
    </x:row>
    <x:row r="201" ht="20" customHeight="1">
      <x:c r="A201" s="68" t="str">
        <x:f t="shared" si="6"/>
      </x:c>
      <x:c r="B201" s="64"/>
      <x:c r="C201" s="68" t="str">
        <x:f>IF(B201="","",IFERROR(INDEX(Planos_Contratos!$B$4:$B$203,MATCH(B201,Planos_Contratos!$A$4:$A$203,0)),""))</x:f>
      </x:c>
      <x:c r="D201" s="68" t="str">
        <x:f>IF(B201="","",IFERROR(INDEX(Planos_Contratos!$C$4:$C$203,MATCH(B201,Planos_Contratos!$A$4:$A$203,0)),""))</x:f>
      </x:c>
      <x:c r="E201" s="72"/>
      <x:c r="F201" s="72"/>
      <x:c r="G201" s="92" t="str">
        <x:f>IF(B201="","",IFERROR(INDEX(Planos_Contratos!$L$4:$L$203,MATCH(B201,Planos_Contratos!$A$4:$A$203,0))/MAX(1,INDEX(Planos_Contratos!$M$4:$M$203,MATCH(B201,Planos_Contratos!$A$4:$A$203,0))),""))</x:f>
      </x:c>
      <x:c r="H201" s="112"/>
      <x:c r="I201" s="92" t="str">
        <x:f t="shared" si="7"/>
      </x:c>
      <x:c r="J201" s="68" t="str">
        <x:f>IF(B201="","",IFERROR(INDEX(Planos_Contratos!$I$4:$I$203,MATCH(B201,Planos_Contratos!$A$4:$A$203,0)),""))</x:f>
      </x:c>
      <x:c r="K201" s="70"/>
      <x:c r="L201" s="96" t="str">
        <x:f>IF(B201="","",IFERROR(INDEX(Planos_Contratos!$M$4:$M$203,MATCH(B201,Planos_Contratos!$A$4:$A$203,0)),""))</x:f>
      </x:c>
      <x:c r="M201" s="64"/>
    </x:row>
    <x:row r="202" ht="20" customHeight="1">
      <x:c r="A202" s="68" t="str">
        <x:f t="shared" si="6"/>
      </x:c>
      <x:c r="B202" s="64"/>
      <x:c r="C202" s="68" t="str">
        <x:f>IF(B202="","",IFERROR(INDEX(Planos_Contratos!$B$4:$B$203,MATCH(B202,Planos_Contratos!$A$4:$A$203,0)),""))</x:f>
      </x:c>
      <x:c r="D202" s="68" t="str">
        <x:f>IF(B202="","",IFERROR(INDEX(Planos_Contratos!$C$4:$C$203,MATCH(B202,Planos_Contratos!$A$4:$A$203,0)),""))</x:f>
      </x:c>
      <x:c r="E202" s="72"/>
      <x:c r="F202" s="72"/>
      <x:c r="G202" s="92" t="str">
        <x:f>IF(B202="","",IFERROR(INDEX(Planos_Contratos!$L$4:$L$203,MATCH(B202,Planos_Contratos!$A$4:$A$203,0))/MAX(1,INDEX(Planos_Contratos!$M$4:$M$203,MATCH(B202,Planos_Contratos!$A$4:$A$203,0))),""))</x:f>
      </x:c>
      <x:c r="H202" s="112"/>
      <x:c r="I202" s="92" t="str">
        <x:f t="shared" si="7"/>
      </x:c>
      <x:c r="J202" s="68" t="str">
        <x:f>IF(B202="","",IFERROR(INDEX(Planos_Contratos!$I$4:$I$203,MATCH(B202,Planos_Contratos!$A$4:$A$203,0)),""))</x:f>
      </x:c>
      <x:c r="K202" s="70"/>
      <x:c r="L202" s="96" t="str">
        <x:f>IF(B202="","",IFERROR(INDEX(Planos_Contratos!$M$4:$M$203,MATCH(B202,Planos_Contratos!$A$4:$A$203,0)),""))</x:f>
      </x:c>
      <x:c r="M202" s="64"/>
    </x:row>
    <x:row r="203" ht="20" customHeight="1">
      <x:c r="A203" s="68" t="str">
        <x:f t="shared" si="6"/>
      </x:c>
      <x:c r="B203" s="64"/>
      <x:c r="C203" s="68" t="str">
        <x:f>IF(B203="","",IFERROR(INDEX(Planos_Contratos!$B$4:$B$203,MATCH(B203,Planos_Contratos!$A$4:$A$203,0)),""))</x:f>
      </x:c>
      <x:c r="D203" s="68" t="str">
        <x:f>IF(B203="","",IFERROR(INDEX(Planos_Contratos!$C$4:$C$203,MATCH(B203,Planos_Contratos!$A$4:$A$203,0)),""))</x:f>
      </x:c>
      <x:c r="E203" s="72"/>
      <x:c r="F203" s="72"/>
      <x:c r="G203" s="92" t="str">
        <x:f>IF(B203="","",IFERROR(INDEX(Planos_Contratos!$L$4:$L$203,MATCH(B203,Planos_Contratos!$A$4:$A$203,0))/MAX(1,INDEX(Planos_Contratos!$M$4:$M$203,MATCH(B203,Planos_Contratos!$A$4:$A$203,0))),""))</x:f>
      </x:c>
      <x:c r="H203" s="112"/>
      <x:c r="I203" s="92" t="str">
        <x:f t="shared" si="7"/>
      </x:c>
      <x:c r="J203" s="68" t="str">
        <x:f>IF(B203="","",IFERROR(INDEX(Planos_Contratos!$I$4:$I$203,MATCH(B203,Planos_Contratos!$A$4:$A$203,0)),""))</x:f>
      </x:c>
      <x:c r="K203" s="70"/>
      <x:c r="L203" s="96" t="str">
        <x:f>IF(B203="","",IFERROR(INDEX(Planos_Contratos!$M$4:$M$203,MATCH(B203,Planos_Contratos!$A$4:$A$203,0)),""))</x:f>
      </x:c>
      <x:c r="M203" s="64"/>
    </x:row>
    <x:row r="204" ht="20" customHeight="1">
      <x:c r="A204" s="68" t="str">
        <x:f t="shared" si="6"/>
      </x:c>
      <x:c r="B204" s="64"/>
      <x:c r="C204" s="68" t="str">
        <x:f>IF(B204="","",IFERROR(INDEX(Planos_Contratos!$B$4:$B$203,MATCH(B204,Planos_Contratos!$A$4:$A$203,0)),""))</x:f>
      </x:c>
      <x:c r="D204" s="68" t="str">
        <x:f>IF(B204="","",IFERROR(INDEX(Planos_Contratos!$C$4:$C$203,MATCH(B204,Planos_Contratos!$A$4:$A$203,0)),""))</x:f>
      </x:c>
      <x:c r="E204" s="72"/>
      <x:c r="F204" s="72"/>
      <x:c r="G204" s="92" t="str">
        <x:f>IF(B204="","",IFERROR(INDEX(Planos_Contratos!$L$4:$L$203,MATCH(B204,Planos_Contratos!$A$4:$A$203,0))/MAX(1,INDEX(Planos_Contratos!$M$4:$M$203,MATCH(B204,Planos_Contratos!$A$4:$A$203,0))),""))</x:f>
      </x:c>
      <x:c r="H204" s="112"/>
      <x:c r="I204" s="92" t="str">
        <x:f t="shared" si="7"/>
      </x:c>
      <x:c r="J204" s="68" t="str">
        <x:f>IF(B204="","",IFERROR(INDEX(Planos_Contratos!$I$4:$I$203,MATCH(B204,Planos_Contratos!$A$4:$A$203,0)),""))</x:f>
      </x:c>
      <x:c r="K204" s="70"/>
      <x:c r="L204" s="96" t="str">
        <x:f>IF(B204="","",IFERROR(INDEX(Planos_Contratos!$M$4:$M$203,MATCH(B204,Planos_Contratos!$A$4:$A$203,0)),""))</x:f>
      </x:c>
      <x:c r="M204" s="64"/>
    </x:row>
    <x:row r="205" ht="20" customHeight="1">
      <x:c r="A205" s="68" t="str">
        <x:f t="shared" si="6"/>
      </x:c>
      <x:c r="B205" s="64"/>
      <x:c r="C205" s="68" t="str">
        <x:f>IF(B205="","",IFERROR(INDEX(Planos_Contratos!$B$4:$B$203,MATCH(B205,Planos_Contratos!$A$4:$A$203,0)),""))</x:f>
      </x:c>
      <x:c r="D205" s="68" t="str">
        <x:f>IF(B205="","",IFERROR(INDEX(Planos_Contratos!$C$4:$C$203,MATCH(B205,Planos_Contratos!$A$4:$A$203,0)),""))</x:f>
      </x:c>
      <x:c r="E205" s="72"/>
      <x:c r="F205" s="72"/>
      <x:c r="G205" s="92" t="str">
        <x:f>IF(B205="","",IFERROR(INDEX(Planos_Contratos!$L$4:$L$203,MATCH(B205,Planos_Contratos!$A$4:$A$203,0))/MAX(1,INDEX(Planos_Contratos!$M$4:$M$203,MATCH(B205,Planos_Contratos!$A$4:$A$203,0))),""))</x:f>
      </x:c>
      <x:c r="H205" s="112"/>
      <x:c r="I205" s="92" t="str">
        <x:f t="shared" si="7"/>
      </x:c>
      <x:c r="J205" s="68" t="str">
        <x:f>IF(B205="","",IFERROR(INDEX(Planos_Contratos!$I$4:$I$203,MATCH(B205,Planos_Contratos!$A$4:$A$203,0)),""))</x:f>
      </x:c>
      <x:c r="K205" s="70"/>
      <x:c r="L205" s="96" t="str">
        <x:f>IF(B205="","",IFERROR(INDEX(Planos_Contratos!$M$4:$M$203,MATCH(B205,Planos_Contratos!$A$4:$A$203,0)),""))</x:f>
      </x:c>
      <x:c r="M205" s="64"/>
    </x:row>
    <x:row r="206" ht="20" customHeight="1">
      <x:c r="A206" s="68" t="str">
        <x:f t="shared" si="6"/>
      </x:c>
      <x:c r="B206" s="64"/>
      <x:c r="C206" s="68" t="str">
        <x:f>IF(B206="","",IFERROR(INDEX(Planos_Contratos!$B$4:$B$203,MATCH(B206,Planos_Contratos!$A$4:$A$203,0)),""))</x:f>
      </x:c>
      <x:c r="D206" s="68" t="str">
        <x:f>IF(B206="","",IFERROR(INDEX(Planos_Contratos!$C$4:$C$203,MATCH(B206,Planos_Contratos!$A$4:$A$203,0)),""))</x:f>
      </x:c>
      <x:c r="E206" s="72"/>
      <x:c r="F206" s="72"/>
      <x:c r="G206" s="92" t="str">
        <x:f>IF(B206="","",IFERROR(INDEX(Planos_Contratos!$L$4:$L$203,MATCH(B206,Planos_Contratos!$A$4:$A$203,0))/MAX(1,INDEX(Planos_Contratos!$M$4:$M$203,MATCH(B206,Planos_Contratos!$A$4:$A$203,0))),""))</x:f>
      </x:c>
      <x:c r="H206" s="112"/>
      <x:c r="I206" s="92" t="str">
        <x:f t="shared" si="7"/>
      </x:c>
      <x:c r="J206" s="68" t="str">
        <x:f>IF(B206="","",IFERROR(INDEX(Planos_Contratos!$I$4:$I$203,MATCH(B206,Planos_Contratos!$A$4:$A$203,0)),""))</x:f>
      </x:c>
      <x:c r="K206" s="70"/>
      <x:c r="L206" s="96" t="str">
        <x:f>IF(B206="","",IFERROR(INDEX(Planos_Contratos!$M$4:$M$203,MATCH(B206,Planos_Contratos!$A$4:$A$203,0)),""))</x:f>
      </x:c>
      <x:c r="M206" s="64"/>
    </x:row>
    <x:row r="207" ht="20" customHeight="1">
      <x:c r="A207" s="68" t="str">
        <x:f t="shared" si="6"/>
      </x:c>
      <x:c r="B207" s="64"/>
      <x:c r="C207" s="68" t="str">
        <x:f>IF(B207="","",IFERROR(INDEX(Planos_Contratos!$B$4:$B$203,MATCH(B207,Planos_Contratos!$A$4:$A$203,0)),""))</x:f>
      </x:c>
      <x:c r="D207" s="68" t="str">
        <x:f>IF(B207="","",IFERROR(INDEX(Planos_Contratos!$C$4:$C$203,MATCH(B207,Planos_Contratos!$A$4:$A$203,0)),""))</x:f>
      </x:c>
      <x:c r="E207" s="72"/>
      <x:c r="F207" s="72"/>
      <x:c r="G207" s="92" t="str">
        <x:f>IF(B207="","",IFERROR(INDEX(Planos_Contratos!$L$4:$L$203,MATCH(B207,Planos_Contratos!$A$4:$A$203,0))/MAX(1,INDEX(Planos_Contratos!$M$4:$M$203,MATCH(B207,Planos_Contratos!$A$4:$A$203,0))),""))</x:f>
      </x:c>
      <x:c r="H207" s="112"/>
      <x:c r="I207" s="92" t="str">
        <x:f t="shared" si="7"/>
      </x:c>
      <x:c r="J207" s="68" t="str">
        <x:f>IF(B207="","",IFERROR(INDEX(Planos_Contratos!$I$4:$I$203,MATCH(B207,Planos_Contratos!$A$4:$A$203,0)),""))</x:f>
      </x:c>
      <x:c r="K207" s="70"/>
      <x:c r="L207" s="96" t="str">
        <x:f>IF(B207="","",IFERROR(INDEX(Planos_Contratos!$M$4:$M$203,MATCH(B207,Planos_Contratos!$A$4:$A$203,0)),""))</x:f>
      </x:c>
      <x:c r="M207" s="64"/>
    </x:row>
    <x:row r="208" ht="20" customHeight="1">
      <x:c r="A208" s="68" t="str">
        <x:f t="shared" si="6"/>
      </x:c>
      <x:c r="B208" s="64"/>
      <x:c r="C208" s="68" t="str">
        <x:f>IF(B208="","",IFERROR(INDEX(Planos_Contratos!$B$4:$B$203,MATCH(B208,Planos_Contratos!$A$4:$A$203,0)),""))</x:f>
      </x:c>
      <x:c r="D208" s="68" t="str">
        <x:f>IF(B208="","",IFERROR(INDEX(Planos_Contratos!$C$4:$C$203,MATCH(B208,Planos_Contratos!$A$4:$A$203,0)),""))</x:f>
      </x:c>
      <x:c r="E208" s="72"/>
      <x:c r="F208" s="72"/>
      <x:c r="G208" s="92" t="str">
        <x:f>IF(B208="","",IFERROR(INDEX(Planos_Contratos!$L$4:$L$203,MATCH(B208,Planos_Contratos!$A$4:$A$203,0))/MAX(1,INDEX(Planos_Contratos!$M$4:$M$203,MATCH(B208,Planos_Contratos!$A$4:$A$203,0))),""))</x:f>
      </x:c>
      <x:c r="H208" s="112"/>
      <x:c r="I208" s="92" t="str">
        <x:f t="shared" si="7"/>
      </x:c>
      <x:c r="J208" s="68" t="str">
        <x:f>IF(B208="","",IFERROR(INDEX(Planos_Contratos!$I$4:$I$203,MATCH(B208,Planos_Contratos!$A$4:$A$203,0)),""))</x:f>
      </x:c>
      <x:c r="K208" s="70"/>
      <x:c r="L208" s="96" t="str">
        <x:f>IF(B208="","",IFERROR(INDEX(Planos_Contratos!$M$4:$M$203,MATCH(B208,Planos_Contratos!$A$4:$A$203,0)),""))</x:f>
      </x:c>
      <x:c r="M208" s="64"/>
    </x:row>
    <x:row r="209" ht="20" customHeight="1">
      <x:c r="A209" s="68" t="str">
        <x:f t="shared" si="6"/>
      </x:c>
      <x:c r="B209" s="64"/>
      <x:c r="C209" s="68" t="str">
        <x:f>IF(B209="","",IFERROR(INDEX(Planos_Contratos!$B$4:$B$203,MATCH(B209,Planos_Contratos!$A$4:$A$203,0)),""))</x:f>
      </x:c>
      <x:c r="D209" s="68" t="str">
        <x:f>IF(B209="","",IFERROR(INDEX(Planos_Contratos!$C$4:$C$203,MATCH(B209,Planos_Contratos!$A$4:$A$203,0)),""))</x:f>
      </x:c>
      <x:c r="E209" s="72"/>
      <x:c r="F209" s="72"/>
      <x:c r="G209" s="92" t="str">
        <x:f>IF(B209="","",IFERROR(INDEX(Planos_Contratos!$L$4:$L$203,MATCH(B209,Planos_Contratos!$A$4:$A$203,0))/MAX(1,INDEX(Planos_Contratos!$M$4:$M$203,MATCH(B209,Planos_Contratos!$A$4:$A$203,0))),""))</x:f>
      </x:c>
      <x:c r="H209" s="112"/>
      <x:c r="I209" s="92" t="str">
        <x:f t="shared" si="7"/>
      </x:c>
      <x:c r="J209" s="68" t="str">
        <x:f>IF(B209="","",IFERROR(INDEX(Planos_Contratos!$I$4:$I$203,MATCH(B209,Planos_Contratos!$A$4:$A$203,0)),""))</x:f>
      </x:c>
      <x:c r="K209" s="70"/>
      <x:c r="L209" s="96" t="str">
        <x:f>IF(B209="","",IFERROR(INDEX(Planos_Contratos!$M$4:$M$203,MATCH(B209,Planos_Contratos!$A$4:$A$203,0)),""))</x:f>
      </x:c>
      <x:c r="M209" s="64"/>
    </x:row>
    <x:row r="210" ht="20" customHeight="1">
      <x:c r="A210" s="68" t="str">
        <x:f t="shared" si="6"/>
      </x:c>
      <x:c r="B210" s="64"/>
      <x:c r="C210" s="68" t="str">
        <x:f>IF(B210="","",IFERROR(INDEX(Planos_Contratos!$B$4:$B$203,MATCH(B210,Planos_Contratos!$A$4:$A$203,0)),""))</x:f>
      </x:c>
      <x:c r="D210" s="68" t="str">
        <x:f>IF(B210="","",IFERROR(INDEX(Planos_Contratos!$C$4:$C$203,MATCH(B210,Planos_Contratos!$A$4:$A$203,0)),""))</x:f>
      </x:c>
      <x:c r="E210" s="72"/>
      <x:c r="F210" s="72"/>
      <x:c r="G210" s="92" t="str">
        <x:f>IF(B210="","",IFERROR(INDEX(Planos_Contratos!$L$4:$L$203,MATCH(B210,Planos_Contratos!$A$4:$A$203,0))/MAX(1,INDEX(Planos_Contratos!$M$4:$M$203,MATCH(B210,Planos_Contratos!$A$4:$A$203,0))),""))</x:f>
      </x:c>
      <x:c r="H210" s="112"/>
      <x:c r="I210" s="92" t="str">
        <x:f t="shared" si="7"/>
      </x:c>
      <x:c r="J210" s="68" t="str">
        <x:f>IF(B210="","",IFERROR(INDEX(Planos_Contratos!$I$4:$I$203,MATCH(B210,Planos_Contratos!$A$4:$A$203,0)),""))</x:f>
      </x:c>
      <x:c r="K210" s="70"/>
      <x:c r="L210" s="96" t="str">
        <x:f>IF(B210="","",IFERROR(INDEX(Planos_Contratos!$M$4:$M$203,MATCH(B210,Planos_Contratos!$A$4:$A$203,0)),""))</x:f>
      </x:c>
      <x:c r="M210" s="64"/>
    </x:row>
    <x:row r="211" ht="20" customHeight="1">
      <x:c r="A211" s="68" t="str">
        <x:f t="shared" si="6"/>
      </x:c>
      <x:c r="B211" s="64"/>
      <x:c r="C211" s="68" t="str">
        <x:f>IF(B211="","",IFERROR(INDEX(Planos_Contratos!$B$4:$B$203,MATCH(B211,Planos_Contratos!$A$4:$A$203,0)),""))</x:f>
      </x:c>
      <x:c r="D211" s="68" t="str">
        <x:f>IF(B211="","",IFERROR(INDEX(Planos_Contratos!$C$4:$C$203,MATCH(B211,Planos_Contratos!$A$4:$A$203,0)),""))</x:f>
      </x:c>
      <x:c r="E211" s="72"/>
      <x:c r="F211" s="72"/>
      <x:c r="G211" s="92" t="str">
        <x:f>IF(B211="","",IFERROR(INDEX(Planos_Contratos!$L$4:$L$203,MATCH(B211,Planos_Contratos!$A$4:$A$203,0))/MAX(1,INDEX(Planos_Contratos!$M$4:$M$203,MATCH(B211,Planos_Contratos!$A$4:$A$203,0))),""))</x:f>
      </x:c>
      <x:c r="H211" s="112"/>
      <x:c r="I211" s="92" t="str">
        <x:f t="shared" si="7"/>
      </x:c>
      <x:c r="J211" s="68" t="str">
        <x:f>IF(B211="","",IFERROR(INDEX(Planos_Contratos!$I$4:$I$203,MATCH(B211,Planos_Contratos!$A$4:$A$203,0)),""))</x:f>
      </x:c>
      <x:c r="K211" s="70"/>
      <x:c r="L211" s="96" t="str">
        <x:f>IF(B211="","",IFERROR(INDEX(Planos_Contratos!$M$4:$M$203,MATCH(B211,Planos_Contratos!$A$4:$A$203,0)),""))</x:f>
      </x:c>
      <x:c r="M211" s="64"/>
    </x:row>
    <x:row r="212" ht="20" customHeight="1">
      <x:c r="A212" s="68" t="str">
        <x:f t="shared" si="6"/>
      </x:c>
      <x:c r="B212" s="64"/>
      <x:c r="C212" s="68" t="str">
        <x:f>IF(B212="","",IFERROR(INDEX(Planos_Contratos!$B$4:$B$203,MATCH(B212,Planos_Contratos!$A$4:$A$203,0)),""))</x:f>
      </x:c>
      <x:c r="D212" s="68" t="str">
        <x:f>IF(B212="","",IFERROR(INDEX(Planos_Contratos!$C$4:$C$203,MATCH(B212,Planos_Contratos!$A$4:$A$203,0)),""))</x:f>
      </x:c>
      <x:c r="E212" s="72"/>
      <x:c r="F212" s="72"/>
      <x:c r="G212" s="92" t="str">
        <x:f>IF(B212="","",IFERROR(INDEX(Planos_Contratos!$L$4:$L$203,MATCH(B212,Planos_Contratos!$A$4:$A$203,0))/MAX(1,INDEX(Planos_Contratos!$M$4:$M$203,MATCH(B212,Planos_Contratos!$A$4:$A$203,0))),""))</x:f>
      </x:c>
      <x:c r="H212" s="112"/>
      <x:c r="I212" s="92" t="str">
        <x:f t="shared" si="7"/>
      </x:c>
      <x:c r="J212" s="68" t="str">
        <x:f>IF(B212="","",IFERROR(INDEX(Planos_Contratos!$I$4:$I$203,MATCH(B212,Planos_Contratos!$A$4:$A$203,0)),""))</x:f>
      </x:c>
      <x:c r="K212" s="70"/>
      <x:c r="L212" s="96" t="str">
        <x:f>IF(B212="","",IFERROR(INDEX(Planos_Contratos!$M$4:$M$203,MATCH(B212,Planos_Contratos!$A$4:$A$203,0)),""))</x:f>
      </x:c>
      <x:c r="M212" s="64"/>
    </x:row>
    <x:row r="213" ht="20" customHeight="1">
      <x:c r="A213" s="68" t="str">
        <x:f t="shared" si="6"/>
      </x:c>
      <x:c r="B213" s="64"/>
      <x:c r="C213" s="68" t="str">
        <x:f>IF(B213="","",IFERROR(INDEX(Planos_Contratos!$B$4:$B$203,MATCH(B213,Planos_Contratos!$A$4:$A$203,0)),""))</x:f>
      </x:c>
      <x:c r="D213" s="68" t="str">
        <x:f>IF(B213="","",IFERROR(INDEX(Planos_Contratos!$C$4:$C$203,MATCH(B213,Planos_Contratos!$A$4:$A$203,0)),""))</x:f>
      </x:c>
      <x:c r="E213" s="72"/>
      <x:c r="F213" s="72"/>
      <x:c r="G213" s="92" t="str">
        <x:f>IF(B213="","",IFERROR(INDEX(Planos_Contratos!$L$4:$L$203,MATCH(B213,Planos_Contratos!$A$4:$A$203,0))/MAX(1,INDEX(Planos_Contratos!$M$4:$M$203,MATCH(B213,Planos_Contratos!$A$4:$A$203,0))),""))</x:f>
      </x:c>
      <x:c r="H213" s="112"/>
      <x:c r="I213" s="92" t="str">
        <x:f t="shared" si="7"/>
      </x:c>
      <x:c r="J213" s="68" t="str">
        <x:f>IF(B213="","",IFERROR(INDEX(Planos_Contratos!$I$4:$I$203,MATCH(B213,Planos_Contratos!$A$4:$A$203,0)),""))</x:f>
      </x:c>
      <x:c r="K213" s="70"/>
      <x:c r="L213" s="96" t="str">
        <x:f>IF(B213="","",IFERROR(INDEX(Planos_Contratos!$M$4:$M$203,MATCH(B213,Planos_Contratos!$A$4:$A$203,0)),""))</x:f>
      </x:c>
      <x:c r="M213" s="64"/>
    </x:row>
    <x:row r="214" ht="20" customHeight="1">
      <x:c r="A214" s="68" t="str">
        <x:f t="shared" si="6"/>
      </x:c>
      <x:c r="B214" s="64"/>
      <x:c r="C214" s="68" t="str">
        <x:f>IF(B214="","",IFERROR(INDEX(Planos_Contratos!$B$4:$B$203,MATCH(B214,Planos_Contratos!$A$4:$A$203,0)),""))</x:f>
      </x:c>
      <x:c r="D214" s="68" t="str">
        <x:f>IF(B214="","",IFERROR(INDEX(Planos_Contratos!$C$4:$C$203,MATCH(B214,Planos_Contratos!$A$4:$A$203,0)),""))</x:f>
      </x:c>
      <x:c r="E214" s="72"/>
      <x:c r="F214" s="72"/>
      <x:c r="G214" s="92" t="str">
        <x:f>IF(B214="","",IFERROR(INDEX(Planos_Contratos!$L$4:$L$203,MATCH(B214,Planos_Contratos!$A$4:$A$203,0))/MAX(1,INDEX(Planos_Contratos!$M$4:$M$203,MATCH(B214,Planos_Contratos!$A$4:$A$203,0))),""))</x:f>
      </x:c>
      <x:c r="H214" s="112"/>
      <x:c r="I214" s="92" t="str">
        <x:f t="shared" si="7"/>
      </x:c>
      <x:c r="J214" s="68" t="str">
        <x:f>IF(B214="","",IFERROR(INDEX(Planos_Contratos!$I$4:$I$203,MATCH(B214,Planos_Contratos!$A$4:$A$203,0)),""))</x:f>
      </x:c>
      <x:c r="K214" s="70"/>
      <x:c r="L214" s="96" t="str">
        <x:f>IF(B214="","",IFERROR(INDEX(Planos_Contratos!$M$4:$M$203,MATCH(B214,Planos_Contratos!$A$4:$A$203,0)),""))</x:f>
      </x:c>
      <x:c r="M214" s="64"/>
    </x:row>
    <x:row r="215" ht="20" customHeight="1">
      <x:c r="A215" s="68" t="str">
        <x:f t="shared" si="6"/>
      </x:c>
      <x:c r="B215" s="64"/>
      <x:c r="C215" s="68" t="str">
        <x:f>IF(B215="","",IFERROR(INDEX(Planos_Contratos!$B$4:$B$203,MATCH(B215,Planos_Contratos!$A$4:$A$203,0)),""))</x:f>
      </x:c>
      <x:c r="D215" s="68" t="str">
        <x:f>IF(B215="","",IFERROR(INDEX(Planos_Contratos!$C$4:$C$203,MATCH(B215,Planos_Contratos!$A$4:$A$203,0)),""))</x:f>
      </x:c>
      <x:c r="E215" s="72"/>
      <x:c r="F215" s="72"/>
      <x:c r="G215" s="92" t="str">
        <x:f>IF(B215="","",IFERROR(INDEX(Planos_Contratos!$L$4:$L$203,MATCH(B215,Planos_Contratos!$A$4:$A$203,0))/MAX(1,INDEX(Planos_Contratos!$M$4:$M$203,MATCH(B215,Planos_Contratos!$A$4:$A$203,0))),""))</x:f>
      </x:c>
      <x:c r="H215" s="112"/>
      <x:c r="I215" s="92" t="str">
        <x:f t="shared" si="7"/>
      </x:c>
      <x:c r="J215" s="68" t="str">
        <x:f>IF(B215="","",IFERROR(INDEX(Planos_Contratos!$I$4:$I$203,MATCH(B215,Planos_Contratos!$A$4:$A$203,0)),""))</x:f>
      </x:c>
      <x:c r="K215" s="70"/>
      <x:c r="L215" s="96" t="str">
        <x:f>IF(B215="","",IFERROR(INDEX(Planos_Contratos!$M$4:$M$203,MATCH(B215,Planos_Contratos!$A$4:$A$203,0)),""))</x:f>
      </x:c>
      <x:c r="M215" s="64"/>
    </x:row>
    <x:row r="216" ht="20" customHeight="1">
      <x:c r="A216" s="68" t="str">
        <x:f t="shared" si="6"/>
      </x:c>
      <x:c r="B216" s="64"/>
      <x:c r="C216" s="68" t="str">
        <x:f>IF(B216="","",IFERROR(INDEX(Planos_Contratos!$B$4:$B$203,MATCH(B216,Planos_Contratos!$A$4:$A$203,0)),""))</x:f>
      </x:c>
      <x:c r="D216" s="68" t="str">
        <x:f>IF(B216="","",IFERROR(INDEX(Planos_Contratos!$C$4:$C$203,MATCH(B216,Planos_Contratos!$A$4:$A$203,0)),""))</x:f>
      </x:c>
      <x:c r="E216" s="72"/>
      <x:c r="F216" s="72"/>
      <x:c r="G216" s="92" t="str">
        <x:f>IF(B216="","",IFERROR(INDEX(Planos_Contratos!$L$4:$L$203,MATCH(B216,Planos_Contratos!$A$4:$A$203,0))/MAX(1,INDEX(Planos_Contratos!$M$4:$M$203,MATCH(B216,Planos_Contratos!$A$4:$A$203,0))),""))</x:f>
      </x:c>
      <x:c r="H216" s="112"/>
      <x:c r="I216" s="92" t="str">
        <x:f t="shared" si="7"/>
      </x:c>
      <x:c r="J216" s="68" t="str">
        <x:f>IF(B216="","",IFERROR(INDEX(Planos_Contratos!$I$4:$I$203,MATCH(B216,Planos_Contratos!$A$4:$A$203,0)),""))</x:f>
      </x:c>
      <x:c r="K216" s="70"/>
      <x:c r="L216" s="96" t="str">
        <x:f>IF(B216="","",IFERROR(INDEX(Planos_Contratos!$M$4:$M$203,MATCH(B216,Planos_Contratos!$A$4:$A$203,0)),""))</x:f>
      </x:c>
      <x:c r="M216" s="64"/>
    </x:row>
    <x:row r="217" ht="20" customHeight="1">
      <x:c r="A217" s="68" t="str">
        <x:f t="shared" si="6"/>
      </x:c>
      <x:c r="B217" s="64"/>
      <x:c r="C217" s="68" t="str">
        <x:f>IF(B217="","",IFERROR(INDEX(Planos_Contratos!$B$4:$B$203,MATCH(B217,Planos_Contratos!$A$4:$A$203,0)),""))</x:f>
      </x:c>
      <x:c r="D217" s="68" t="str">
        <x:f>IF(B217="","",IFERROR(INDEX(Planos_Contratos!$C$4:$C$203,MATCH(B217,Planos_Contratos!$A$4:$A$203,0)),""))</x:f>
      </x:c>
      <x:c r="E217" s="72"/>
      <x:c r="F217" s="72"/>
      <x:c r="G217" s="92" t="str">
        <x:f>IF(B217="","",IFERROR(INDEX(Planos_Contratos!$L$4:$L$203,MATCH(B217,Planos_Contratos!$A$4:$A$203,0))/MAX(1,INDEX(Planos_Contratos!$M$4:$M$203,MATCH(B217,Planos_Contratos!$A$4:$A$203,0))),""))</x:f>
      </x:c>
      <x:c r="H217" s="112"/>
      <x:c r="I217" s="92" t="str">
        <x:f t="shared" si="7"/>
      </x:c>
      <x:c r="J217" s="68" t="str">
        <x:f>IF(B217="","",IFERROR(INDEX(Planos_Contratos!$I$4:$I$203,MATCH(B217,Planos_Contratos!$A$4:$A$203,0)),""))</x:f>
      </x:c>
      <x:c r="K217" s="70"/>
      <x:c r="L217" s="96" t="str">
        <x:f>IF(B217="","",IFERROR(INDEX(Planos_Contratos!$M$4:$M$203,MATCH(B217,Planos_Contratos!$A$4:$A$203,0)),""))</x:f>
      </x:c>
      <x:c r="M217" s="64"/>
    </x:row>
    <x:row r="218" ht="20" customHeight="1">
      <x:c r="A218" s="68" t="str">
        <x:f t="shared" si="6"/>
      </x:c>
      <x:c r="B218" s="64"/>
      <x:c r="C218" s="68" t="str">
        <x:f>IF(B218="","",IFERROR(INDEX(Planos_Contratos!$B$4:$B$203,MATCH(B218,Planos_Contratos!$A$4:$A$203,0)),""))</x:f>
      </x:c>
      <x:c r="D218" s="68" t="str">
        <x:f>IF(B218="","",IFERROR(INDEX(Planos_Contratos!$C$4:$C$203,MATCH(B218,Planos_Contratos!$A$4:$A$203,0)),""))</x:f>
      </x:c>
      <x:c r="E218" s="72"/>
      <x:c r="F218" s="72"/>
      <x:c r="G218" s="92" t="str">
        <x:f>IF(B218="","",IFERROR(INDEX(Planos_Contratos!$L$4:$L$203,MATCH(B218,Planos_Contratos!$A$4:$A$203,0))/MAX(1,INDEX(Planos_Contratos!$M$4:$M$203,MATCH(B218,Planos_Contratos!$A$4:$A$203,0))),""))</x:f>
      </x:c>
      <x:c r="H218" s="112"/>
      <x:c r="I218" s="92" t="str">
        <x:f t="shared" si="7"/>
      </x:c>
      <x:c r="J218" s="68" t="str">
        <x:f>IF(B218="","",IFERROR(INDEX(Planos_Contratos!$I$4:$I$203,MATCH(B218,Planos_Contratos!$A$4:$A$203,0)),""))</x:f>
      </x:c>
      <x:c r="K218" s="70"/>
      <x:c r="L218" s="96" t="str">
        <x:f>IF(B218="","",IFERROR(INDEX(Planos_Contratos!$M$4:$M$203,MATCH(B218,Planos_Contratos!$A$4:$A$203,0)),""))</x:f>
      </x:c>
      <x:c r="M218" s="64"/>
    </x:row>
    <x:row r="219" ht="20" customHeight="1">
      <x:c r="A219" s="68" t="str">
        <x:f t="shared" si="6"/>
      </x:c>
      <x:c r="B219" s="64"/>
      <x:c r="C219" s="68" t="str">
        <x:f>IF(B219="","",IFERROR(INDEX(Planos_Contratos!$B$4:$B$203,MATCH(B219,Planos_Contratos!$A$4:$A$203,0)),""))</x:f>
      </x:c>
      <x:c r="D219" s="68" t="str">
        <x:f>IF(B219="","",IFERROR(INDEX(Planos_Contratos!$C$4:$C$203,MATCH(B219,Planos_Contratos!$A$4:$A$203,0)),""))</x:f>
      </x:c>
      <x:c r="E219" s="72"/>
      <x:c r="F219" s="72"/>
      <x:c r="G219" s="92" t="str">
        <x:f>IF(B219="","",IFERROR(INDEX(Planos_Contratos!$L$4:$L$203,MATCH(B219,Planos_Contratos!$A$4:$A$203,0))/MAX(1,INDEX(Planos_Contratos!$M$4:$M$203,MATCH(B219,Planos_Contratos!$A$4:$A$203,0))),""))</x:f>
      </x:c>
      <x:c r="H219" s="112"/>
      <x:c r="I219" s="92" t="str">
        <x:f t="shared" si="7"/>
      </x:c>
      <x:c r="J219" s="68" t="str">
        <x:f>IF(B219="","",IFERROR(INDEX(Planos_Contratos!$I$4:$I$203,MATCH(B219,Planos_Contratos!$A$4:$A$203,0)),""))</x:f>
      </x:c>
      <x:c r="K219" s="70"/>
      <x:c r="L219" s="96" t="str">
        <x:f>IF(B219="","",IFERROR(INDEX(Planos_Contratos!$M$4:$M$203,MATCH(B219,Planos_Contratos!$A$4:$A$203,0)),""))</x:f>
      </x:c>
      <x:c r="M219" s="64"/>
    </x:row>
    <x:row r="220" ht="20" customHeight="1">
      <x:c r="A220" s="68" t="str">
        <x:f t="shared" si="6"/>
      </x:c>
      <x:c r="B220" s="64"/>
      <x:c r="C220" s="68" t="str">
        <x:f>IF(B220="","",IFERROR(INDEX(Planos_Contratos!$B$4:$B$203,MATCH(B220,Planos_Contratos!$A$4:$A$203,0)),""))</x:f>
      </x:c>
      <x:c r="D220" s="68" t="str">
        <x:f>IF(B220="","",IFERROR(INDEX(Planos_Contratos!$C$4:$C$203,MATCH(B220,Planos_Contratos!$A$4:$A$203,0)),""))</x:f>
      </x:c>
      <x:c r="E220" s="72"/>
      <x:c r="F220" s="72"/>
      <x:c r="G220" s="92" t="str">
        <x:f>IF(B220="","",IFERROR(INDEX(Planos_Contratos!$L$4:$L$203,MATCH(B220,Planos_Contratos!$A$4:$A$203,0))/MAX(1,INDEX(Planos_Contratos!$M$4:$M$203,MATCH(B220,Planos_Contratos!$A$4:$A$203,0))),""))</x:f>
      </x:c>
      <x:c r="H220" s="112"/>
      <x:c r="I220" s="92" t="str">
        <x:f t="shared" si="7"/>
      </x:c>
      <x:c r="J220" s="68" t="str">
        <x:f>IF(B220="","",IFERROR(INDEX(Planos_Contratos!$I$4:$I$203,MATCH(B220,Planos_Contratos!$A$4:$A$203,0)),""))</x:f>
      </x:c>
      <x:c r="K220" s="70"/>
      <x:c r="L220" s="96" t="str">
        <x:f>IF(B220="","",IFERROR(INDEX(Planos_Contratos!$M$4:$M$203,MATCH(B220,Planos_Contratos!$A$4:$A$203,0)),""))</x:f>
      </x:c>
      <x:c r="M220" s="64"/>
    </x:row>
    <x:row r="221" ht="20" customHeight="1">
      <x:c r="A221" s="68" t="str">
        <x:f t="shared" si="6"/>
      </x:c>
      <x:c r="B221" s="64"/>
      <x:c r="C221" s="68" t="str">
        <x:f>IF(B221="","",IFERROR(INDEX(Planos_Contratos!$B$4:$B$203,MATCH(B221,Planos_Contratos!$A$4:$A$203,0)),""))</x:f>
      </x:c>
      <x:c r="D221" s="68" t="str">
        <x:f>IF(B221="","",IFERROR(INDEX(Planos_Contratos!$C$4:$C$203,MATCH(B221,Planos_Contratos!$A$4:$A$203,0)),""))</x:f>
      </x:c>
      <x:c r="E221" s="72"/>
      <x:c r="F221" s="72"/>
      <x:c r="G221" s="92" t="str">
        <x:f>IF(B221="","",IFERROR(INDEX(Planos_Contratos!$L$4:$L$203,MATCH(B221,Planos_Contratos!$A$4:$A$203,0))/MAX(1,INDEX(Planos_Contratos!$M$4:$M$203,MATCH(B221,Planos_Contratos!$A$4:$A$203,0))),""))</x:f>
      </x:c>
      <x:c r="H221" s="112"/>
      <x:c r="I221" s="92" t="str">
        <x:f t="shared" si="7"/>
      </x:c>
      <x:c r="J221" s="68" t="str">
        <x:f>IF(B221="","",IFERROR(INDEX(Planos_Contratos!$I$4:$I$203,MATCH(B221,Planos_Contratos!$A$4:$A$203,0)),""))</x:f>
      </x:c>
      <x:c r="K221" s="70"/>
      <x:c r="L221" s="96" t="str">
        <x:f>IF(B221="","",IFERROR(INDEX(Planos_Contratos!$M$4:$M$203,MATCH(B221,Planos_Contratos!$A$4:$A$203,0)),""))</x:f>
      </x:c>
      <x:c r="M221" s="64"/>
    </x:row>
    <x:row r="222" ht="20" customHeight="1">
      <x:c r="A222" s="68" t="str">
        <x:f t="shared" si="6"/>
      </x:c>
      <x:c r="B222" s="64"/>
      <x:c r="C222" s="68" t="str">
        <x:f>IF(B222="","",IFERROR(INDEX(Planos_Contratos!$B$4:$B$203,MATCH(B222,Planos_Contratos!$A$4:$A$203,0)),""))</x:f>
      </x:c>
      <x:c r="D222" s="68" t="str">
        <x:f>IF(B222="","",IFERROR(INDEX(Planos_Contratos!$C$4:$C$203,MATCH(B222,Planos_Contratos!$A$4:$A$203,0)),""))</x:f>
      </x:c>
      <x:c r="E222" s="72"/>
      <x:c r="F222" s="72"/>
      <x:c r="G222" s="92" t="str">
        <x:f>IF(B222="","",IFERROR(INDEX(Planos_Contratos!$L$4:$L$203,MATCH(B222,Planos_Contratos!$A$4:$A$203,0))/MAX(1,INDEX(Planos_Contratos!$M$4:$M$203,MATCH(B222,Planos_Contratos!$A$4:$A$203,0))),""))</x:f>
      </x:c>
      <x:c r="H222" s="112"/>
      <x:c r="I222" s="92" t="str">
        <x:f t="shared" si="7"/>
      </x:c>
      <x:c r="J222" s="68" t="str">
        <x:f>IF(B222="","",IFERROR(INDEX(Planos_Contratos!$I$4:$I$203,MATCH(B222,Planos_Contratos!$A$4:$A$203,0)),""))</x:f>
      </x:c>
      <x:c r="K222" s="70"/>
      <x:c r="L222" s="96" t="str">
        <x:f>IF(B222="","",IFERROR(INDEX(Planos_Contratos!$M$4:$M$203,MATCH(B222,Planos_Contratos!$A$4:$A$203,0)),""))</x:f>
      </x:c>
      <x:c r="M222" s="64"/>
    </x:row>
    <x:row r="223" ht="20" customHeight="1">
      <x:c r="A223" s="68" t="str">
        <x:f t="shared" si="6"/>
      </x:c>
      <x:c r="B223" s="64"/>
      <x:c r="C223" s="68" t="str">
        <x:f>IF(B223="","",IFERROR(INDEX(Planos_Contratos!$B$4:$B$203,MATCH(B223,Planos_Contratos!$A$4:$A$203,0)),""))</x:f>
      </x:c>
      <x:c r="D223" s="68" t="str">
        <x:f>IF(B223="","",IFERROR(INDEX(Planos_Contratos!$C$4:$C$203,MATCH(B223,Planos_Contratos!$A$4:$A$203,0)),""))</x:f>
      </x:c>
      <x:c r="E223" s="72"/>
      <x:c r="F223" s="72"/>
      <x:c r="G223" s="92" t="str">
        <x:f>IF(B223="","",IFERROR(INDEX(Planos_Contratos!$L$4:$L$203,MATCH(B223,Planos_Contratos!$A$4:$A$203,0))/MAX(1,INDEX(Planos_Contratos!$M$4:$M$203,MATCH(B223,Planos_Contratos!$A$4:$A$203,0))),""))</x:f>
      </x:c>
      <x:c r="H223" s="112"/>
      <x:c r="I223" s="92" t="str">
        <x:f t="shared" si="7"/>
      </x:c>
      <x:c r="J223" s="68" t="str">
        <x:f>IF(B223="","",IFERROR(INDEX(Planos_Contratos!$I$4:$I$203,MATCH(B223,Planos_Contratos!$A$4:$A$203,0)),""))</x:f>
      </x:c>
      <x:c r="K223" s="70"/>
      <x:c r="L223" s="96" t="str">
        <x:f>IF(B223="","",IFERROR(INDEX(Planos_Contratos!$M$4:$M$203,MATCH(B223,Planos_Contratos!$A$4:$A$203,0)),""))</x:f>
      </x:c>
      <x:c r="M223" s="64"/>
    </x:row>
    <x:row r="224" ht="20" customHeight="1">
      <x:c r="A224" s="68" t="str">
        <x:f t="shared" si="6"/>
      </x:c>
      <x:c r="B224" s="64"/>
      <x:c r="C224" s="68" t="str">
        <x:f>IF(B224="","",IFERROR(INDEX(Planos_Contratos!$B$4:$B$203,MATCH(B224,Planos_Contratos!$A$4:$A$203,0)),""))</x:f>
      </x:c>
      <x:c r="D224" s="68" t="str">
        <x:f>IF(B224="","",IFERROR(INDEX(Planos_Contratos!$C$4:$C$203,MATCH(B224,Planos_Contratos!$A$4:$A$203,0)),""))</x:f>
      </x:c>
      <x:c r="E224" s="72"/>
      <x:c r="F224" s="72"/>
      <x:c r="G224" s="92" t="str">
        <x:f>IF(B224="","",IFERROR(INDEX(Planos_Contratos!$L$4:$L$203,MATCH(B224,Planos_Contratos!$A$4:$A$203,0))/MAX(1,INDEX(Planos_Contratos!$M$4:$M$203,MATCH(B224,Planos_Contratos!$A$4:$A$203,0))),""))</x:f>
      </x:c>
      <x:c r="H224" s="112"/>
      <x:c r="I224" s="92" t="str">
        <x:f t="shared" si="7"/>
      </x:c>
      <x:c r="J224" s="68" t="str">
        <x:f>IF(B224="","",IFERROR(INDEX(Planos_Contratos!$I$4:$I$203,MATCH(B224,Planos_Contratos!$A$4:$A$203,0)),""))</x:f>
      </x:c>
      <x:c r="K224" s="70"/>
      <x:c r="L224" s="96" t="str">
        <x:f>IF(B224="","",IFERROR(INDEX(Planos_Contratos!$M$4:$M$203,MATCH(B224,Planos_Contratos!$A$4:$A$203,0)),""))</x:f>
      </x:c>
      <x:c r="M224" s="64"/>
    </x:row>
    <x:row r="225" ht="20" customHeight="1">
      <x:c r="A225" s="68" t="str">
        <x:f t="shared" si="6"/>
      </x:c>
      <x:c r="B225" s="64"/>
      <x:c r="C225" s="68" t="str">
        <x:f>IF(B225="","",IFERROR(INDEX(Planos_Contratos!$B$4:$B$203,MATCH(B225,Planos_Contratos!$A$4:$A$203,0)),""))</x:f>
      </x:c>
      <x:c r="D225" s="68" t="str">
        <x:f>IF(B225="","",IFERROR(INDEX(Planos_Contratos!$C$4:$C$203,MATCH(B225,Planos_Contratos!$A$4:$A$203,0)),""))</x:f>
      </x:c>
      <x:c r="E225" s="72"/>
      <x:c r="F225" s="72"/>
      <x:c r="G225" s="92" t="str">
        <x:f>IF(B225="","",IFERROR(INDEX(Planos_Contratos!$L$4:$L$203,MATCH(B225,Planos_Contratos!$A$4:$A$203,0))/MAX(1,INDEX(Planos_Contratos!$M$4:$M$203,MATCH(B225,Planos_Contratos!$A$4:$A$203,0))),""))</x:f>
      </x:c>
      <x:c r="H225" s="112"/>
      <x:c r="I225" s="92" t="str">
        <x:f t="shared" si="7"/>
      </x:c>
      <x:c r="J225" s="68" t="str">
        <x:f>IF(B225="","",IFERROR(INDEX(Planos_Contratos!$I$4:$I$203,MATCH(B225,Planos_Contratos!$A$4:$A$203,0)),""))</x:f>
      </x:c>
      <x:c r="K225" s="70"/>
      <x:c r="L225" s="96" t="str">
        <x:f>IF(B225="","",IFERROR(INDEX(Planos_Contratos!$M$4:$M$203,MATCH(B225,Planos_Contratos!$A$4:$A$203,0)),""))</x:f>
      </x:c>
      <x:c r="M225" s="64"/>
    </x:row>
    <x:row r="226" ht="20" customHeight="1">
      <x:c r="A226" s="68" t="str">
        <x:f t="shared" si="6"/>
      </x:c>
      <x:c r="B226" s="64"/>
      <x:c r="C226" s="68" t="str">
        <x:f>IF(B226="","",IFERROR(INDEX(Planos_Contratos!$B$4:$B$203,MATCH(B226,Planos_Contratos!$A$4:$A$203,0)),""))</x:f>
      </x:c>
      <x:c r="D226" s="68" t="str">
        <x:f>IF(B226="","",IFERROR(INDEX(Planos_Contratos!$C$4:$C$203,MATCH(B226,Planos_Contratos!$A$4:$A$203,0)),""))</x:f>
      </x:c>
      <x:c r="E226" s="72"/>
      <x:c r="F226" s="72"/>
      <x:c r="G226" s="92" t="str">
        <x:f>IF(B226="","",IFERROR(INDEX(Planos_Contratos!$L$4:$L$203,MATCH(B226,Planos_Contratos!$A$4:$A$203,0))/MAX(1,INDEX(Planos_Contratos!$M$4:$M$203,MATCH(B226,Planos_Contratos!$A$4:$A$203,0))),""))</x:f>
      </x:c>
      <x:c r="H226" s="112"/>
      <x:c r="I226" s="92" t="str">
        <x:f t="shared" si="7"/>
      </x:c>
      <x:c r="J226" s="68" t="str">
        <x:f>IF(B226="","",IFERROR(INDEX(Planos_Contratos!$I$4:$I$203,MATCH(B226,Planos_Contratos!$A$4:$A$203,0)),""))</x:f>
      </x:c>
      <x:c r="K226" s="70"/>
      <x:c r="L226" s="96" t="str">
        <x:f>IF(B226="","",IFERROR(INDEX(Planos_Contratos!$M$4:$M$203,MATCH(B226,Planos_Contratos!$A$4:$A$203,0)),""))</x:f>
      </x:c>
      <x:c r="M226" s="64"/>
    </x:row>
    <x:row r="227" ht="20" customHeight="1">
      <x:c r="A227" s="68" t="str">
        <x:f t="shared" si="6"/>
      </x:c>
      <x:c r="B227" s="64"/>
      <x:c r="C227" s="68" t="str">
        <x:f>IF(B227="","",IFERROR(INDEX(Planos_Contratos!$B$4:$B$203,MATCH(B227,Planos_Contratos!$A$4:$A$203,0)),""))</x:f>
      </x:c>
      <x:c r="D227" s="68" t="str">
        <x:f>IF(B227="","",IFERROR(INDEX(Planos_Contratos!$C$4:$C$203,MATCH(B227,Planos_Contratos!$A$4:$A$203,0)),""))</x:f>
      </x:c>
      <x:c r="E227" s="72"/>
      <x:c r="F227" s="72"/>
      <x:c r="G227" s="92" t="str">
        <x:f>IF(B227="","",IFERROR(INDEX(Planos_Contratos!$L$4:$L$203,MATCH(B227,Planos_Contratos!$A$4:$A$203,0))/MAX(1,INDEX(Planos_Contratos!$M$4:$M$203,MATCH(B227,Planos_Contratos!$A$4:$A$203,0))),""))</x:f>
      </x:c>
      <x:c r="H227" s="112"/>
      <x:c r="I227" s="92" t="str">
        <x:f t="shared" si="7"/>
      </x:c>
      <x:c r="J227" s="68" t="str">
        <x:f>IF(B227="","",IFERROR(INDEX(Planos_Contratos!$I$4:$I$203,MATCH(B227,Planos_Contratos!$A$4:$A$203,0)),""))</x:f>
      </x:c>
      <x:c r="K227" s="70"/>
      <x:c r="L227" s="96" t="str">
        <x:f>IF(B227="","",IFERROR(INDEX(Planos_Contratos!$M$4:$M$203,MATCH(B227,Planos_Contratos!$A$4:$A$203,0)),""))</x:f>
      </x:c>
      <x:c r="M227" s="64"/>
    </x:row>
    <x:row r="228" ht="20" customHeight="1">
      <x:c r="A228" s="68" t="str">
        <x:f t="shared" si="6"/>
      </x:c>
      <x:c r="B228" s="64"/>
      <x:c r="C228" s="68" t="str">
        <x:f>IF(B228="","",IFERROR(INDEX(Planos_Contratos!$B$4:$B$203,MATCH(B228,Planos_Contratos!$A$4:$A$203,0)),""))</x:f>
      </x:c>
      <x:c r="D228" s="68" t="str">
        <x:f>IF(B228="","",IFERROR(INDEX(Planos_Contratos!$C$4:$C$203,MATCH(B228,Planos_Contratos!$A$4:$A$203,0)),""))</x:f>
      </x:c>
      <x:c r="E228" s="72"/>
      <x:c r="F228" s="72"/>
      <x:c r="G228" s="92" t="str">
        <x:f>IF(B228="","",IFERROR(INDEX(Planos_Contratos!$L$4:$L$203,MATCH(B228,Planos_Contratos!$A$4:$A$203,0))/MAX(1,INDEX(Planos_Contratos!$M$4:$M$203,MATCH(B228,Planos_Contratos!$A$4:$A$203,0))),""))</x:f>
      </x:c>
      <x:c r="H228" s="112"/>
      <x:c r="I228" s="92" t="str">
        <x:f t="shared" si="7"/>
      </x:c>
      <x:c r="J228" s="68" t="str">
        <x:f>IF(B228="","",IFERROR(INDEX(Planos_Contratos!$I$4:$I$203,MATCH(B228,Planos_Contratos!$A$4:$A$203,0)),""))</x:f>
      </x:c>
      <x:c r="K228" s="70"/>
      <x:c r="L228" s="96" t="str">
        <x:f>IF(B228="","",IFERROR(INDEX(Planos_Contratos!$M$4:$M$203,MATCH(B228,Planos_Contratos!$A$4:$A$203,0)),""))</x:f>
      </x:c>
      <x:c r="M228" s="64"/>
    </x:row>
    <x:row r="229" ht="20" customHeight="1">
      <x:c r="A229" s="68" t="str">
        <x:f t="shared" si="6"/>
      </x:c>
      <x:c r="B229" s="64"/>
      <x:c r="C229" s="68" t="str">
        <x:f>IF(B229="","",IFERROR(INDEX(Planos_Contratos!$B$4:$B$203,MATCH(B229,Planos_Contratos!$A$4:$A$203,0)),""))</x:f>
      </x:c>
      <x:c r="D229" s="68" t="str">
        <x:f>IF(B229="","",IFERROR(INDEX(Planos_Contratos!$C$4:$C$203,MATCH(B229,Planos_Contratos!$A$4:$A$203,0)),""))</x:f>
      </x:c>
      <x:c r="E229" s="72"/>
      <x:c r="F229" s="72"/>
      <x:c r="G229" s="92" t="str">
        <x:f>IF(B229="","",IFERROR(INDEX(Planos_Contratos!$L$4:$L$203,MATCH(B229,Planos_Contratos!$A$4:$A$203,0))/MAX(1,INDEX(Planos_Contratos!$M$4:$M$203,MATCH(B229,Planos_Contratos!$A$4:$A$203,0))),""))</x:f>
      </x:c>
      <x:c r="H229" s="112"/>
      <x:c r="I229" s="92" t="str">
        <x:f t="shared" si="7"/>
      </x:c>
      <x:c r="J229" s="68" t="str">
        <x:f>IF(B229="","",IFERROR(INDEX(Planos_Contratos!$I$4:$I$203,MATCH(B229,Planos_Contratos!$A$4:$A$203,0)),""))</x:f>
      </x:c>
      <x:c r="K229" s="70"/>
      <x:c r="L229" s="96" t="str">
        <x:f>IF(B229="","",IFERROR(INDEX(Planos_Contratos!$M$4:$M$203,MATCH(B229,Planos_Contratos!$A$4:$A$203,0)),""))</x:f>
      </x:c>
      <x:c r="M229" s="64"/>
    </x:row>
    <x:row r="230" ht="20" customHeight="1">
      <x:c r="A230" s="68" t="str">
        <x:f t="shared" si="6"/>
      </x:c>
      <x:c r="B230" s="64"/>
      <x:c r="C230" s="68" t="str">
        <x:f>IF(B230="","",IFERROR(INDEX(Planos_Contratos!$B$4:$B$203,MATCH(B230,Planos_Contratos!$A$4:$A$203,0)),""))</x:f>
      </x:c>
      <x:c r="D230" s="68" t="str">
        <x:f>IF(B230="","",IFERROR(INDEX(Planos_Contratos!$C$4:$C$203,MATCH(B230,Planos_Contratos!$A$4:$A$203,0)),""))</x:f>
      </x:c>
      <x:c r="E230" s="72"/>
      <x:c r="F230" s="72"/>
      <x:c r="G230" s="92" t="str">
        <x:f>IF(B230="","",IFERROR(INDEX(Planos_Contratos!$L$4:$L$203,MATCH(B230,Planos_Contratos!$A$4:$A$203,0))/MAX(1,INDEX(Planos_Contratos!$M$4:$M$203,MATCH(B230,Planos_Contratos!$A$4:$A$203,0))),""))</x:f>
      </x:c>
      <x:c r="H230" s="112"/>
      <x:c r="I230" s="92" t="str">
        <x:f t="shared" si="7"/>
      </x:c>
      <x:c r="J230" s="68" t="str">
        <x:f>IF(B230="","",IFERROR(INDEX(Planos_Contratos!$I$4:$I$203,MATCH(B230,Planos_Contratos!$A$4:$A$203,0)),""))</x:f>
      </x:c>
      <x:c r="K230" s="70"/>
      <x:c r="L230" s="96" t="str">
        <x:f>IF(B230="","",IFERROR(INDEX(Planos_Contratos!$M$4:$M$203,MATCH(B230,Planos_Contratos!$A$4:$A$203,0)),""))</x:f>
      </x:c>
      <x:c r="M230" s="64"/>
    </x:row>
    <x:row r="231" ht="20" customHeight="1">
      <x:c r="A231" s="68" t="str">
        <x:f t="shared" si="6"/>
      </x:c>
      <x:c r="B231" s="64"/>
      <x:c r="C231" s="68" t="str">
        <x:f>IF(B231="","",IFERROR(INDEX(Planos_Contratos!$B$4:$B$203,MATCH(B231,Planos_Contratos!$A$4:$A$203,0)),""))</x:f>
      </x:c>
      <x:c r="D231" s="68" t="str">
        <x:f>IF(B231="","",IFERROR(INDEX(Planos_Contratos!$C$4:$C$203,MATCH(B231,Planos_Contratos!$A$4:$A$203,0)),""))</x:f>
      </x:c>
      <x:c r="E231" s="72"/>
      <x:c r="F231" s="72"/>
      <x:c r="G231" s="92" t="str">
        <x:f>IF(B231="","",IFERROR(INDEX(Planos_Contratos!$L$4:$L$203,MATCH(B231,Planos_Contratos!$A$4:$A$203,0))/MAX(1,INDEX(Planos_Contratos!$M$4:$M$203,MATCH(B231,Planos_Contratos!$A$4:$A$203,0))),""))</x:f>
      </x:c>
      <x:c r="H231" s="112"/>
      <x:c r="I231" s="92" t="str">
        <x:f t="shared" si="7"/>
      </x:c>
      <x:c r="J231" s="68" t="str">
        <x:f>IF(B231="","",IFERROR(INDEX(Planos_Contratos!$I$4:$I$203,MATCH(B231,Planos_Contratos!$A$4:$A$203,0)),""))</x:f>
      </x:c>
      <x:c r="K231" s="70"/>
      <x:c r="L231" s="96" t="str">
        <x:f>IF(B231="","",IFERROR(INDEX(Planos_Contratos!$M$4:$M$203,MATCH(B231,Planos_Contratos!$A$4:$A$203,0)),""))</x:f>
      </x:c>
      <x:c r="M231" s="64"/>
    </x:row>
    <x:row r="232" ht="20" customHeight="1">
      <x:c r="A232" s="68" t="str">
        <x:f t="shared" si="6"/>
      </x:c>
      <x:c r="B232" s="64"/>
      <x:c r="C232" s="68" t="str">
        <x:f>IF(B232="","",IFERROR(INDEX(Planos_Contratos!$B$4:$B$203,MATCH(B232,Planos_Contratos!$A$4:$A$203,0)),""))</x:f>
      </x:c>
      <x:c r="D232" s="68" t="str">
        <x:f>IF(B232="","",IFERROR(INDEX(Planos_Contratos!$C$4:$C$203,MATCH(B232,Planos_Contratos!$A$4:$A$203,0)),""))</x:f>
      </x:c>
      <x:c r="E232" s="72"/>
      <x:c r="F232" s="72"/>
      <x:c r="G232" s="92" t="str">
        <x:f>IF(B232="","",IFERROR(INDEX(Planos_Contratos!$L$4:$L$203,MATCH(B232,Planos_Contratos!$A$4:$A$203,0))/MAX(1,INDEX(Planos_Contratos!$M$4:$M$203,MATCH(B232,Planos_Contratos!$A$4:$A$203,0))),""))</x:f>
      </x:c>
      <x:c r="H232" s="112"/>
      <x:c r="I232" s="92" t="str">
        <x:f t="shared" si="7"/>
      </x:c>
      <x:c r="J232" s="68" t="str">
        <x:f>IF(B232="","",IFERROR(INDEX(Planos_Contratos!$I$4:$I$203,MATCH(B232,Planos_Contratos!$A$4:$A$203,0)),""))</x:f>
      </x:c>
      <x:c r="K232" s="70"/>
      <x:c r="L232" s="96" t="str">
        <x:f>IF(B232="","",IFERROR(INDEX(Planos_Contratos!$M$4:$M$203,MATCH(B232,Planos_Contratos!$A$4:$A$203,0)),""))</x:f>
      </x:c>
      <x:c r="M232" s="64"/>
    </x:row>
    <x:row r="233" ht="20" customHeight="1">
      <x:c r="A233" s="68" t="str">
        <x:f t="shared" si="6"/>
      </x:c>
      <x:c r="B233" s="64"/>
      <x:c r="C233" s="68" t="str">
        <x:f>IF(B233="","",IFERROR(INDEX(Planos_Contratos!$B$4:$B$203,MATCH(B233,Planos_Contratos!$A$4:$A$203,0)),""))</x:f>
      </x:c>
      <x:c r="D233" s="68" t="str">
        <x:f>IF(B233="","",IFERROR(INDEX(Planos_Contratos!$C$4:$C$203,MATCH(B233,Planos_Contratos!$A$4:$A$203,0)),""))</x:f>
      </x:c>
      <x:c r="E233" s="72"/>
      <x:c r="F233" s="72"/>
      <x:c r="G233" s="92" t="str">
        <x:f>IF(B233="","",IFERROR(INDEX(Planos_Contratos!$L$4:$L$203,MATCH(B233,Planos_Contratos!$A$4:$A$203,0))/MAX(1,INDEX(Planos_Contratos!$M$4:$M$203,MATCH(B233,Planos_Contratos!$A$4:$A$203,0))),""))</x:f>
      </x:c>
      <x:c r="H233" s="112"/>
      <x:c r="I233" s="92" t="str">
        <x:f t="shared" si="7"/>
      </x:c>
      <x:c r="J233" s="68" t="str">
        <x:f>IF(B233="","",IFERROR(INDEX(Planos_Contratos!$I$4:$I$203,MATCH(B233,Planos_Contratos!$A$4:$A$203,0)),""))</x:f>
      </x:c>
      <x:c r="K233" s="70"/>
      <x:c r="L233" s="96" t="str">
        <x:f>IF(B233="","",IFERROR(INDEX(Planos_Contratos!$M$4:$M$203,MATCH(B233,Planos_Contratos!$A$4:$A$203,0)),""))</x:f>
      </x:c>
      <x:c r="M233" s="64"/>
    </x:row>
    <x:row r="234" ht="20" customHeight="1">
      <x:c r="A234" s="68" t="str">
        <x:f t="shared" si="6"/>
      </x:c>
      <x:c r="B234" s="64"/>
      <x:c r="C234" s="68" t="str">
        <x:f>IF(B234="","",IFERROR(INDEX(Planos_Contratos!$B$4:$B$203,MATCH(B234,Planos_Contratos!$A$4:$A$203,0)),""))</x:f>
      </x:c>
      <x:c r="D234" s="68" t="str">
        <x:f>IF(B234="","",IFERROR(INDEX(Planos_Contratos!$C$4:$C$203,MATCH(B234,Planos_Contratos!$A$4:$A$203,0)),""))</x:f>
      </x:c>
      <x:c r="E234" s="72"/>
      <x:c r="F234" s="72"/>
      <x:c r="G234" s="92" t="str">
        <x:f>IF(B234="","",IFERROR(INDEX(Planos_Contratos!$L$4:$L$203,MATCH(B234,Planos_Contratos!$A$4:$A$203,0))/MAX(1,INDEX(Planos_Contratos!$M$4:$M$203,MATCH(B234,Planos_Contratos!$A$4:$A$203,0))),""))</x:f>
      </x:c>
      <x:c r="H234" s="112"/>
      <x:c r="I234" s="92" t="str">
        <x:f t="shared" si="7"/>
      </x:c>
      <x:c r="J234" s="68" t="str">
        <x:f>IF(B234="","",IFERROR(INDEX(Planos_Contratos!$I$4:$I$203,MATCH(B234,Planos_Contratos!$A$4:$A$203,0)),""))</x:f>
      </x:c>
      <x:c r="K234" s="70"/>
      <x:c r="L234" s="96" t="str">
        <x:f>IF(B234="","",IFERROR(INDEX(Planos_Contratos!$M$4:$M$203,MATCH(B234,Planos_Contratos!$A$4:$A$203,0)),""))</x:f>
      </x:c>
      <x:c r="M234" s="64"/>
    </x:row>
    <x:row r="235" ht="20" customHeight="1">
      <x:c r="A235" s="68" t="str">
        <x:f t="shared" si="6"/>
      </x:c>
      <x:c r="B235" s="64"/>
      <x:c r="C235" s="68" t="str">
        <x:f>IF(B235="","",IFERROR(INDEX(Planos_Contratos!$B$4:$B$203,MATCH(B235,Planos_Contratos!$A$4:$A$203,0)),""))</x:f>
      </x:c>
      <x:c r="D235" s="68" t="str">
        <x:f>IF(B235="","",IFERROR(INDEX(Planos_Contratos!$C$4:$C$203,MATCH(B235,Planos_Contratos!$A$4:$A$203,0)),""))</x:f>
      </x:c>
      <x:c r="E235" s="72"/>
      <x:c r="F235" s="72"/>
      <x:c r="G235" s="92" t="str">
        <x:f>IF(B235="","",IFERROR(INDEX(Planos_Contratos!$L$4:$L$203,MATCH(B235,Planos_Contratos!$A$4:$A$203,0))/MAX(1,INDEX(Planos_Contratos!$M$4:$M$203,MATCH(B235,Planos_Contratos!$A$4:$A$203,0))),""))</x:f>
      </x:c>
      <x:c r="H235" s="112"/>
      <x:c r="I235" s="92" t="str">
        <x:f t="shared" si="7"/>
      </x:c>
      <x:c r="J235" s="68" t="str">
        <x:f>IF(B235="","",IFERROR(INDEX(Planos_Contratos!$I$4:$I$203,MATCH(B235,Planos_Contratos!$A$4:$A$203,0)),""))</x:f>
      </x:c>
      <x:c r="K235" s="70"/>
      <x:c r="L235" s="96" t="str">
        <x:f>IF(B235="","",IFERROR(INDEX(Planos_Contratos!$M$4:$M$203,MATCH(B235,Planos_Contratos!$A$4:$A$203,0)),""))</x:f>
      </x:c>
      <x:c r="M235" s="64"/>
    </x:row>
    <x:row r="236" ht="20" customHeight="1">
      <x:c r="A236" s="68" t="str">
        <x:f t="shared" si="6"/>
      </x:c>
      <x:c r="B236" s="64"/>
      <x:c r="C236" s="68" t="str">
        <x:f>IF(B236="","",IFERROR(INDEX(Planos_Contratos!$B$4:$B$203,MATCH(B236,Planos_Contratos!$A$4:$A$203,0)),""))</x:f>
      </x:c>
      <x:c r="D236" s="68" t="str">
        <x:f>IF(B236="","",IFERROR(INDEX(Planos_Contratos!$C$4:$C$203,MATCH(B236,Planos_Contratos!$A$4:$A$203,0)),""))</x:f>
      </x:c>
      <x:c r="E236" s="72"/>
      <x:c r="F236" s="72"/>
      <x:c r="G236" s="92" t="str">
        <x:f>IF(B236="","",IFERROR(INDEX(Planos_Contratos!$L$4:$L$203,MATCH(B236,Planos_Contratos!$A$4:$A$203,0))/MAX(1,INDEX(Planos_Contratos!$M$4:$M$203,MATCH(B236,Planos_Contratos!$A$4:$A$203,0))),""))</x:f>
      </x:c>
      <x:c r="H236" s="112"/>
      <x:c r="I236" s="92" t="str">
        <x:f t="shared" si="7"/>
      </x:c>
      <x:c r="J236" s="68" t="str">
        <x:f>IF(B236="","",IFERROR(INDEX(Planos_Contratos!$I$4:$I$203,MATCH(B236,Planos_Contratos!$A$4:$A$203,0)),""))</x:f>
      </x:c>
      <x:c r="K236" s="70"/>
      <x:c r="L236" s="96" t="str">
        <x:f>IF(B236="","",IFERROR(INDEX(Planos_Contratos!$M$4:$M$203,MATCH(B236,Planos_Contratos!$A$4:$A$203,0)),""))</x:f>
      </x:c>
      <x:c r="M236" s="64"/>
    </x:row>
    <x:row r="237" ht="20" customHeight="1">
      <x:c r="A237" s="68" t="str">
        <x:f t="shared" si="6"/>
      </x:c>
      <x:c r="B237" s="64"/>
      <x:c r="C237" s="68" t="str">
        <x:f>IF(B237="","",IFERROR(INDEX(Planos_Contratos!$B$4:$B$203,MATCH(B237,Planos_Contratos!$A$4:$A$203,0)),""))</x:f>
      </x:c>
      <x:c r="D237" s="68" t="str">
        <x:f>IF(B237="","",IFERROR(INDEX(Planos_Contratos!$C$4:$C$203,MATCH(B237,Planos_Contratos!$A$4:$A$203,0)),""))</x:f>
      </x:c>
      <x:c r="E237" s="72"/>
      <x:c r="F237" s="72"/>
      <x:c r="G237" s="92" t="str">
        <x:f>IF(B237="","",IFERROR(INDEX(Planos_Contratos!$L$4:$L$203,MATCH(B237,Planos_Contratos!$A$4:$A$203,0))/MAX(1,INDEX(Planos_Contratos!$M$4:$M$203,MATCH(B237,Planos_Contratos!$A$4:$A$203,0))),""))</x:f>
      </x:c>
      <x:c r="H237" s="112"/>
      <x:c r="I237" s="92" t="str">
        <x:f t="shared" si="7"/>
      </x:c>
      <x:c r="J237" s="68" t="str">
        <x:f>IF(B237="","",IFERROR(INDEX(Planos_Contratos!$I$4:$I$203,MATCH(B237,Planos_Contratos!$A$4:$A$203,0)),""))</x:f>
      </x:c>
      <x:c r="K237" s="70"/>
      <x:c r="L237" s="96" t="str">
        <x:f>IF(B237="","",IFERROR(INDEX(Planos_Contratos!$M$4:$M$203,MATCH(B237,Planos_Contratos!$A$4:$A$203,0)),""))</x:f>
      </x:c>
      <x:c r="M237" s="64"/>
    </x:row>
    <x:row r="238" ht="20" customHeight="1">
      <x:c r="A238" s="68" t="str">
        <x:f t="shared" si="6"/>
      </x:c>
      <x:c r="B238" s="64"/>
      <x:c r="C238" s="68" t="str">
        <x:f>IF(B238="","",IFERROR(INDEX(Planos_Contratos!$B$4:$B$203,MATCH(B238,Planos_Contratos!$A$4:$A$203,0)),""))</x:f>
      </x:c>
      <x:c r="D238" s="68" t="str">
        <x:f>IF(B238="","",IFERROR(INDEX(Planos_Contratos!$C$4:$C$203,MATCH(B238,Planos_Contratos!$A$4:$A$203,0)),""))</x:f>
      </x:c>
      <x:c r="E238" s="72"/>
      <x:c r="F238" s="72"/>
      <x:c r="G238" s="92" t="str">
        <x:f>IF(B238="","",IFERROR(INDEX(Planos_Contratos!$L$4:$L$203,MATCH(B238,Planos_Contratos!$A$4:$A$203,0))/MAX(1,INDEX(Planos_Contratos!$M$4:$M$203,MATCH(B238,Planos_Contratos!$A$4:$A$203,0))),""))</x:f>
      </x:c>
      <x:c r="H238" s="112"/>
      <x:c r="I238" s="92" t="str">
        <x:f t="shared" si="7"/>
      </x:c>
      <x:c r="J238" s="68" t="str">
        <x:f>IF(B238="","",IFERROR(INDEX(Planos_Contratos!$I$4:$I$203,MATCH(B238,Planos_Contratos!$A$4:$A$203,0)),""))</x:f>
      </x:c>
      <x:c r="K238" s="70"/>
      <x:c r="L238" s="96" t="str">
        <x:f>IF(B238="","",IFERROR(INDEX(Planos_Contratos!$M$4:$M$203,MATCH(B238,Planos_Contratos!$A$4:$A$203,0)),""))</x:f>
      </x:c>
      <x:c r="M238" s="64"/>
    </x:row>
    <x:row r="239" ht="20" customHeight="1">
      <x:c r="A239" s="68" t="str">
        <x:f t="shared" si="6"/>
      </x:c>
      <x:c r="B239" s="64"/>
      <x:c r="C239" s="68" t="str">
        <x:f>IF(B239="","",IFERROR(INDEX(Planos_Contratos!$B$4:$B$203,MATCH(B239,Planos_Contratos!$A$4:$A$203,0)),""))</x:f>
      </x:c>
      <x:c r="D239" s="68" t="str">
        <x:f>IF(B239="","",IFERROR(INDEX(Planos_Contratos!$C$4:$C$203,MATCH(B239,Planos_Contratos!$A$4:$A$203,0)),""))</x:f>
      </x:c>
      <x:c r="E239" s="72"/>
      <x:c r="F239" s="72"/>
      <x:c r="G239" s="92" t="str">
        <x:f>IF(B239="","",IFERROR(INDEX(Planos_Contratos!$L$4:$L$203,MATCH(B239,Planos_Contratos!$A$4:$A$203,0))/MAX(1,INDEX(Planos_Contratos!$M$4:$M$203,MATCH(B239,Planos_Contratos!$A$4:$A$203,0))),""))</x:f>
      </x:c>
      <x:c r="H239" s="112"/>
      <x:c r="I239" s="92" t="str">
        <x:f t="shared" si="7"/>
      </x:c>
      <x:c r="J239" s="68" t="str">
        <x:f>IF(B239="","",IFERROR(INDEX(Planos_Contratos!$I$4:$I$203,MATCH(B239,Planos_Contratos!$A$4:$A$203,0)),""))</x:f>
      </x:c>
      <x:c r="K239" s="70"/>
      <x:c r="L239" s="96" t="str">
        <x:f>IF(B239="","",IFERROR(INDEX(Planos_Contratos!$M$4:$M$203,MATCH(B239,Planos_Contratos!$A$4:$A$203,0)),""))</x:f>
      </x:c>
      <x:c r="M239" s="64"/>
    </x:row>
    <x:row r="240" ht="20" customHeight="1">
      <x:c r="A240" s="68" t="str">
        <x:f t="shared" si="6"/>
      </x:c>
      <x:c r="B240" s="64"/>
      <x:c r="C240" s="68" t="str">
        <x:f>IF(B240="","",IFERROR(INDEX(Planos_Contratos!$B$4:$B$203,MATCH(B240,Planos_Contratos!$A$4:$A$203,0)),""))</x:f>
      </x:c>
      <x:c r="D240" s="68" t="str">
        <x:f>IF(B240="","",IFERROR(INDEX(Planos_Contratos!$C$4:$C$203,MATCH(B240,Planos_Contratos!$A$4:$A$203,0)),""))</x:f>
      </x:c>
      <x:c r="E240" s="72"/>
      <x:c r="F240" s="72"/>
      <x:c r="G240" s="92" t="str">
        <x:f>IF(B240="","",IFERROR(INDEX(Planos_Contratos!$L$4:$L$203,MATCH(B240,Planos_Contratos!$A$4:$A$203,0))/MAX(1,INDEX(Planos_Contratos!$M$4:$M$203,MATCH(B240,Planos_Contratos!$A$4:$A$203,0))),""))</x:f>
      </x:c>
      <x:c r="H240" s="112"/>
      <x:c r="I240" s="92" t="str">
        <x:f t="shared" si="7"/>
      </x:c>
      <x:c r="J240" s="68" t="str">
        <x:f>IF(B240="","",IFERROR(INDEX(Planos_Contratos!$I$4:$I$203,MATCH(B240,Planos_Contratos!$A$4:$A$203,0)),""))</x:f>
      </x:c>
      <x:c r="K240" s="70"/>
      <x:c r="L240" s="96" t="str">
        <x:f>IF(B240="","",IFERROR(INDEX(Planos_Contratos!$M$4:$M$203,MATCH(B240,Planos_Contratos!$A$4:$A$203,0)),""))</x:f>
      </x:c>
      <x:c r="M240" s="64"/>
    </x:row>
    <x:row r="241" ht="20" customHeight="1">
      <x:c r="A241" s="68" t="str">
        <x:f t="shared" si="6"/>
      </x:c>
      <x:c r="B241" s="64"/>
      <x:c r="C241" s="68" t="str">
        <x:f>IF(B241="","",IFERROR(INDEX(Planos_Contratos!$B$4:$B$203,MATCH(B241,Planos_Contratos!$A$4:$A$203,0)),""))</x:f>
      </x:c>
      <x:c r="D241" s="68" t="str">
        <x:f>IF(B241="","",IFERROR(INDEX(Planos_Contratos!$C$4:$C$203,MATCH(B241,Planos_Contratos!$A$4:$A$203,0)),""))</x:f>
      </x:c>
      <x:c r="E241" s="72"/>
      <x:c r="F241" s="72"/>
      <x:c r="G241" s="92" t="str">
        <x:f>IF(B241="","",IFERROR(INDEX(Planos_Contratos!$L$4:$L$203,MATCH(B241,Planos_Contratos!$A$4:$A$203,0))/MAX(1,INDEX(Planos_Contratos!$M$4:$M$203,MATCH(B241,Planos_Contratos!$A$4:$A$203,0))),""))</x:f>
      </x:c>
      <x:c r="H241" s="112"/>
      <x:c r="I241" s="92" t="str">
        <x:f t="shared" si="7"/>
      </x:c>
      <x:c r="J241" s="68" t="str">
        <x:f>IF(B241="","",IFERROR(INDEX(Planos_Contratos!$I$4:$I$203,MATCH(B241,Planos_Contratos!$A$4:$A$203,0)),""))</x:f>
      </x:c>
      <x:c r="K241" s="70"/>
      <x:c r="L241" s="96" t="str">
        <x:f>IF(B241="","",IFERROR(INDEX(Planos_Contratos!$M$4:$M$203,MATCH(B241,Planos_Contratos!$A$4:$A$203,0)),""))</x:f>
      </x:c>
      <x:c r="M241" s="64"/>
    </x:row>
    <x:row r="242" ht="20" customHeight="1">
      <x:c r="A242" s="68" t="str">
        <x:f t="shared" si="6"/>
      </x:c>
      <x:c r="B242" s="64"/>
      <x:c r="C242" s="68" t="str">
        <x:f>IF(B242="","",IFERROR(INDEX(Planos_Contratos!$B$4:$B$203,MATCH(B242,Planos_Contratos!$A$4:$A$203,0)),""))</x:f>
      </x:c>
      <x:c r="D242" s="68" t="str">
        <x:f>IF(B242="","",IFERROR(INDEX(Planos_Contratos!$C$4:$C$203,MATCH(B242,Planos_Contratos!$A$4:$A$203,0)),""))</x:f>
      </x:c>
      <x:c r="E242" s="72"/>
      <x:c r="F242" s="72"/>
      <x:c r="G242" s="92" t="str">
        <x:f>IF(B242="","",IFERROR(INDEX(Planos_Contratos!$L$4:$L$203,MATCH(B242,Planos_Contratos!$A$4:$A$203,0))/MAX(1,INDEX(Planos_Contratos!$M$4:$M$203,MATCH(B242,Planos_Contratos!$A$4:$A$203,0))),""))</x:f>
      </x:c>
      <x:c r="H242" s="112"/>
      <x:c r="I242" s="92" t="str">
        <x:f t="shared" si="7"/>
      </x:c>
      <x:c r="J242" s="68" t="str">
        <x:f>IF(B242="","",IFERROR(INDEX(Planos_Contratos!$I$4:$I$203,MATCH(B242,Planos_Contratos!$A$4:$A$203,0)),""))</x:f>
      </x:c>
      <x:c r="K242" s="70"/>
      <x:c r="L242" s="96" t="str">
        <x:f>IF(B242="","",IFERROR(INDEX(Planos_Contratos!$M$4:$M$203,MATCH(B242,Planos_Contratos!$A$4:$A$203,0)),""))</x:f>
      </x:c>
      <x:c r="M242" s="64"/>
    </x:row>
    <x:row r="243" ht="20" customHeight="1">
      <x:c r="A243" s="68" t="str">
        <x:f t="shared" si="6"/>
      </x:c>
      <x:c r="B243" s="64"/>
      <x:c r="C243" s="68" t="str">
        <x:f>IF(B243="","",IFERROR(INDEX(Planos_Contratos!$B$4:$B$203,MATCH(B243,Planos_Contratos!$A$4:$A$203,0)),""))</x:f>
      </x:c>
      <x:c r="D243" s="68" t="str">
        <x:f>IF(B243="","",IFERROR(INDEX(Planos_Contratos!$C$4:$C$203,MATCH(B243,Planos_Contratos!$A$4:$A$203,0)),""))</x:f>
      </x:c>
      <x:c r="E243" s="72"/>
      <x:c r="F243" s="72"/>
      <x:c r="G243" s="92" t="str">
        <x:f>IF(B243="","",IFERROR(INDEX(Planos_Contratos!$L$4:$L$203,MATCH(B243,Planos_Contratos!$A$4:$A$203,0))/MAX(1,INDEX(Planos_Contratos!$M$4:$M$203,MATCH(B243,Planos_Contratos!$A$4:$A$203,0))),""))</x:f>
      </x:c>
      <x:c r="H243" s="112"/>
      <x:c r="I243" s="92" t="str">
        <x:f t="shared" si="7"/>
      </x:c>
      <x:c r="J243" s="68" t="str">
        <x:f>IF(B243="","",IFERROR(INDEX(Planos_Contratos!$I$4:$I$203,MATCH(B243,Planos_Contratos!$A$4:$A$203,0)),""))</x:f>
      </x:c>
      <x:c r="K243" s="70"/>
      <x:c r="L243" s="96" t="str">
        <x:f>IF(B243="","",IFERROR(INDEX(Planos_Contratos!$M$4:$M$203,MATCH(B243,Planos_Contratos!$A$4:$A$203,0)),""))</x:f>
      </x:c>
      <x:c r="M243" s="64"/>
    </x:row>
    <x:row r="244" ht="20" customHeight="1">
      <x:c r="A244" s="68" t="str">
        <x:f t="shared" si="6"/>
      </x:c>
      <x:c r="B244" s="64"/>
      <x:c r="C244" s="68" t="str">
        <x:f>IF(B244="","",IFERROR(INDEX(Planos_Contratos!$B$4:$B$203,MATCH(B244,Planos_Contratos!$A$4:$A$203,0)),""))</x:f>
      </x:c>
      <x:c r="D244" s="68" t="str">
        <x:f>IF(B244="","",IFERROR(INDEX(Planos_Contratos!$C$4:$C$203,MATCH(B244,Planos_Contratos!$A$4:$A$203,0)),""))</x:f>
      </x:c>
      <x:c r="E244" s="72"/>
      <x:c r="F244" s="72"/>
      <x:c r="G244" s="92" t="str">
        <x:f>IF(B244="","",IFERROR(INDEX(Planos_Contratos!$L$4:$L$203,MATCH(B244,Planos_Contratos!$A$4:$A$203,0))/MAX(1,INDEX(Planos_Contratos!$M$4:$M$203,MATCH(B244,Planos_Contratos!$A$4:$A$203,0))),""))</x:f>
      </x:c>
      <x:c r="H244" s="112"/>
      <x:c r="I244" s="92" t="str">
        <x:f t="shared" si="7"/>
      </x:c>
      <x:c r="J244" s="68" t="str">
        <x:f>IF(B244="","",IFERROR(INDEX(Planos_Contratos!$I$4:$I$203,MATCH(B244,Planos_Contratos!$A$4:$A$203,0)),""))</x:f>
      </x:c>
      <x:c r="K244" s="70"/>
      <x:c r="L244" s="96" t="str">
        <x:f>IF(B244="","",IFERROR(INDEX(Planos_Contratos!$M$4:$M$203,MATCH(B244,Planos_Contratos!$A$4:$A$203,0)),""))</x:f>
      </x:c>
      <x:c r="M244" s="64"/>
    </x:row>
    <x:row r="245" ht="20" customHeight="1">
      <x:c r="A245" s="68" t="str">
        <x:f t="shared" si="6"/>
      </x:c>
      <x:c r="B245" s="64"/>
      <x:c r="C245" s="68" t="str">
        <x:f>IF(B245="","",IFERROR(INDEX(Planos_Contratos!$B$4:$B$203,MATCH(B245,Planos_Contratos!$A$4:$A$203,0)),""))</x:f>
      </x:c>
      <x:c r="D245" s="68" t="str">
        <x:f>IF(B245="","",IFERROR(INDEX(Planos_Contratos!$C$4:$C$203,MATCH(B245,Planos_Contratos!$A$4:$A$203,0)),""))</x:f>
      </x:c>
      <x:c r="E245" s="72"/>
      <x:c r="F245" s="72"/>
      <x:c r="G245" s="92" t="str">
        <x:f>IF(B245="","",IFERROR(INDEX(Planos_Contratos!$L$4:$L$203,MATCH(B245,Planos_Contratos!$A$4:$A$203,0))/MAX(1,INDEX(Planos_Contratos!$M$4:$M$203,MATCH(B245,Planos_Contratos!$A$4:$A$203,0))),""))</x:f>
      </x:c>
      <x:c r="H245" s="112"/>
      <x:c r="I245" s="92" t="str">
        <x:f t="shared" si="7"/>
      </x:c>
      <x:c r="J245" s="68" t="str">
        <x:f>IF(B245="","",IFERROR(INDEX(Planos_Contratos!$I$4:$I$203,MATCH(B245,Planos_Contratos!$A$4:$A$203,0)),""))</x:f>
      </x:c>
      <x:c r="K245" s="70"/>
      <x:c r="L245" s="96" t="str">
        <x:f>IF(B245="","",IFERROR(INDEX(Planos_Contratos!$M$4:$M$203,MATCH(B245,Planos_Contratos!$A$4:$A$203,0)),""))</x:f>
      </x:c>
      <x:c r="M245" s="64"/>
    </x:row>
    <x:row r="246" ht="20" customHeight="1">
      <x:c r="A246" s="68" t="str">
        <x:f t="shared" si="6"/>
      </x:c>
      <x:c r="B246" s="64"/>
      <x:c r="C246" s="68" t="str">
        <x:f>IF(B246="","",IFERROR(INDEX(Planos_Contratos!$B$4:$B$203,MATCH(B246,Planos_Contratos!$A$4:$A$203,0)),""))</x:f>
      </x:c>
      <x:c r="D246" s="68" t="str">
        <x:f>IF(B246="","",IFERROR(INDEX(Planos_Contratos!$C$4:$C$203,MATCH(B246,Planos_Contratos!$A$4:$A$203,0)),""))</x:f>
      </x:c>
      <x:c r="E246" s="72"/>
      <x:c r="F246" s="72"/>
      <x:c r="G246" s="92" t="str">
        <x:f>IF(B246="","",IFERROR(INDEX(Planos_Contratos!$L$4:$L$203,MATCH(B246,Planos_Contratos!$A$4:$A$203,0))/MAX(1,INDEX(Planos_Contratos!$M$4:$M$203,MATCH(B246,Planos_Contratos!$A$4:$A$203,0))),""))</x:f>
      </x:c>
      <x:c r="H246" s="112"/>
      <x:c r="I246" s="92" t="str">
        <x:f t="shared" si="7"/>
      </x:c>
      <x:c r="J246" s="68" t="str">
        <x:f>IF(B246="","",IFERROR(INDEX(Planos_Contratos!$I$4:$I$203,MATCH(B246,Planos_Contratos!$A$4:$A$203,0)),""))</x:f>
      </x:c>
      <x:c r="K246" s="70"/>
      <x:c r="L246" s="96" t="str">
        <x:f>IF(B246="","",IFERROR(INDEX(Planos_Contratos!$M$4:$M$203,MATCH(B246,Planos_Contratos!$A$4:$A$203,0)),""))</x:f>
      </x:c>
      <x:c r="M246" s="64"/>
    </x:row>
    <x:row r="247" ht="20" customHeight="1">
      <x:c r="A247" s="68" t="str">
        <x:f t="shared" si="6"/>
      </x:c>
      <x:c r="B247" s="64"/>
      <x:c r="C247" s="68" t="str">
        <x:f>IF(B247="","",IFERROR(INDEX(Planos_Contratos!$B$4:$B$203,MATCH(B247,Planos_Contratos!$A$4:$A$203,0)),""))</x:f>
      </x:c>
      <x:c r="D247" s="68" t="str">
        <x:f>IF(B247="","",IFERROR(INDEX(Planos_Contratos!$C$4:$C$203,MATCH(B247,Planos_Contratos!$A$4:$A$203,0)),""))</x:f>
      </x:c>
      <x:c r="E247" s="72"/>
      <x:c r="F247" s="72"/>
      <x:c r="G247" s="92" t="str">
        <x:f>IF(B247="","",IFERROR(INDEX(Planos_Contratos!$L$4:$L$203,MATCH(B247,Planos_Contratos!$A$4:$A$203,0))/MAX(1,INDEX(Planos_Contratos!$M$4:$M$203,MATCH(B247,Planos_Contratos!$A$4:$A$203,0))),""))</x:f>
      </x:c>
      <x:c r="H247" s="112"/>
      <x:c r="I247" s="92" t="str">
        <x:f t="shared" si="7"/>
      </x:c>
      <x:c r="J247" s="68" t="str">
        <x:f>IF(B247="","",IFERROR(INDEX(Planos_Contratos!$I$4:$I$203,MATCH(B247,Planos_Contratos!$A$4:$A$203,0)),""))</x:f>
      </x:c>
      <x:c r="K247" s="70"/>
      <x:c r="L247" s="96" t="str">
        <x:f>IF(B247="","",IFERROR(INDEX(Planos_Contratos!$M$4:$M$203,MATCH(B247,Planos_Contratos!$A$4:$A$203,0)),""))</x:f>
      </x:c>
      <x:c r="M247" s="64"/>
    </x:row>
    <x:row r="248" ht="20" customHeight="1">
      <x:c r="A248" s="68" t="str">
        <x:f t="shared" si="6"/>
      </x:c>
      <x:c r="B248" s="64"/>
      <x:c r="C248" s="68" t="str">
        <x:f>IF(B248="","",IFERROR(INDEX(Planos_Contratos!$B$4:$B$203,MATCH(B248,Planos_Contratos!$A$4:$A$203,0)),""))</x:f>
      </x:c>
      <x:c r="D248" s="68" t="str">
        <x:f>IF(B248="","",IFERROR(INDEX(Planos_Contratos!$C$4:$C$203,MATCH(B248,Planos_Contratos!$A$4:$A$203,0)),""))</x:f>
      </x:c>
      <x:c r="E248" s="72"/>
      <x:c r="F248" s="72"/>
      <x:c r="G248" s="92" t="str">
        <x:f>IF(B248="","",IFERROR(INDEX(Planos_Contratos!$L$4:$L$203,MATCH(B248,Planos_Contratos!$A$4:$A$203,0))/MAX(1,INDEX(Planos_Contratos!$M$4:$M$203,MATCH(B248,Planos_Contratos!$A$4:$A$203,0))),""))</x:f>
      </x:c>
      <x:c r="H248" s="112"/>
      <x:c r="I248" s="92" t="str">
        <x:f t="shared" si="7"/>
      </x:c>
      <x:c r="J248" s="68" t="str">
        <x:f>IF(B248="","",IFERROR(INDEX(Planos_Contratos!$I$4:$I$203,MATCH(B248,Planos_Contratos!$A$4:$A$203,0)),""))</x:f>
      </x:c>
      <x:c r="K248" s="70"/>
      <x:c r="L248" s="96" t="str">
        <x:f>IF(B248="","",IFERROR(INDEX(Planos_Contratos!$M$4:$M$203,MATCH(B248,Planos_Contratos!$A$4:$A$203,0)),""))</x:f>
      </x:c>
      <x:c r="M248" s="64"/>
    </x:row>
    <x:row r="249" ht="20" customHeight="1">
      <x:c r="A249" s="68" t="str">
        <x:f t="shared" si="6"/>
      </x:c>
      <x:c r="B249" s="64"/>
      <x:c r="C249" s="68" t="str">
        <x:f>IF(B249="","",IFERROR(INDEX(Planos_Contratos!$B$4:$B$203,MATCH(B249,Planos_Contratos!$A$4:$A$203,0)),""))</x:f>
      </x:c>
      <x:c r="D249" s="68" t="str">
        <x:f>IF(B249="","",IFERROR(INDEX(Planos_Contratos!$C$4:$C$203,MATCH(B249,Planos_Contratos!$A$4:$A$203,0)),""))</x:f>
      </x:c>
      <x:c r="E249" s="72"/>
      <x:c r="F249" s="72"/>
      <x:c r="G249" s="92" t="str">
        <x:f>IF(B249="","",IFERROR(INDEX(Planos_Contratos!$L$4:$L$203,MATCH(B249,Planos_Contratos!$A$4:$A$203,0))/MAX(1,INDEX(Planos_Contratos!$M$4:$M$203,MATCH(B249,Planos_Contratos!$A$4:$A$203,0))),""))</x:f>
      </x:c>
      <x:c r="H249" s="112"/>
      <x:c r="I249" s="92" t="str">
        <x:f t="shared" si="7"/>
      </x:c>
      <x:c r="J249" s="68" t="str">
        <x:f>IF(B249="","",IFERROR(INDEX(Planos_Contratos!$I$4:$I$203,MATCH(B249,Planos_Contratos!$A$4:$A$203,0)),""))</x:f>
      </x:c>
      <x:c r="K249" s="70"/>
      <x:c r="L249" s="96" t="str">
        <x:f>IF(B249="","",IFERROR(INDEX(Planos_Contratos!$M$4:$M$203,MATCH(B249,Planos_Contratos!$A$4:$A$203,0)),""))</x:f>
      </x:c>
      <x:c r="M249" s="64"/>
    </x:row>
    <x:row r="250" ht="20" customHeight="1">
      <x:c r="A250" s="68" t="str">
        <x:f t="shared" si="6"/>
      </x:c>
      <x:c r="B250" s="64"/>
      <x:c r="C250" s="68" t="str">
        <x:f>IF(B250="","",IFERROR(INDEX(Planos_Contratos!$B$4:$B$203,MATCH(B250,Planos_Contratos!$A$4:$A$203,0)),""))</x:f>
      </x:c>
      <x:c r="D250" s="68" t="str">
        <x:f>IF(B250="","",IFERROR(INDEX(Planos_Contratos!$C$4:$C$203,MATCH(B250,Planos_Contratos!$A$4:$A$203,0)),""))</x:f>
      </x:c>
      <x:c r="E250" s="72"/>
      <x:c r="F250" s="72"/>
      <x:c r="G250" s="92" t="str">
        <x:f>IF(B250="","",IFERROR(INDEX(Planos_Contratos!$L$4:$L$203,MATCH(B250,Planos_Contratos!$A$4:$A$203,0))/MAX(1,INDEX(Planos_Contratos!$M$4:$M$203,MATCH(B250,Planos_Contratos!$A$4:$A$203,0))),""))</x:f>
      </x:c>
      <x:c r="H250" s="112"/>
      <x:c r="I250" s="92" t="str">
        <x:f t="shared" si="7"/>
      </x:c>
      <x:c r="J250" s="68" t="str">
        <x:f>IF(B250="","",IFERROR(INDEX(Planos_Contratos!$I$4:$I$203,MATCH(B250,Planos_Contratos!$A$4:$A$203,0)),""))</x:f>
      </x:c>
      <x:c r="K250" s="70"/>
      <x:c r="L250" s="96" t="str">
        <x:f>IF(B250="","",IFERROR(INDEX(Planos_Contratos!$M$4:$M$203,MATCH(B250,Planos_Contratos!$A$4:$A$203,0)),""))</x:f>
      </x:c>
      <x:c r="M250" s="64"/>
    </x:row>
    <x:row r="251" ht="20" customHeight="1">
      <x:c r="A251" s="68" t="str">
        <x:f t="shared" si="6"/>
      </x:c>
      <x:c r="B251" s="64"/>
      <x:c r="C251" s="68" t="str">
        <x:f>IF(B251="","",IFERROR(INDEX(Planos_Contratos!$B$4:$B$203,MATCH(B251,Planos_Contratos!$A$4:$A$203,0)),""))</x:f>
      </x:c>
      <x:c r="D251" s="68" t="str">
        <x:f>IF(B251="","",IFERROR(INDEX(Planos_Contratos!$C$4:$C$203,MATCH(B251,Planos_Contratos!$A$4:$A$203,0)),""))</x:f>
      </x:c>
      <x:c r="E251" s="72"/>
      <x:c r="F251" s="72"/>
      <x:c r="G251" s="92" t="str">
        <x:f>IF(B251="","",IFERROR(INDEX(Planos_Contratos!$L$4:$L$203,MATCH(B251,Planos_Contratos!$A$4:$A$203,0))/MAX(1,INDEX(Planos_Contratos!$M$4:$M$203,MATCH(B251,Planos_Contratos!$A$4:$A$203,0))),""))</x:f>
      </x:c>
      <x:c r="H251" s="112"/>
      <x:c r="I251" s="92" t="str">
        <x:f t="shared" si="7"/>
      </x:c>
      <x:c r="J251" s="68" t="str">
        <x:f>IF(B251="","",IFERROR(INDEX(Planos_Contratos!$I$4:$I$203,MATCH(B251,Planos_Contratos!$A$4:$A$203,0)),""))</x:f>
      </x:c>
      <x:c r="K251" s="70"/>
      <x:c r="L251" s="96" t="str">
        <x:f>IF(B251="","",IFERROR(INDEX(Planos_Contratos!$M$4:$M$203,MATCH(B251,Planos_Contratos!$A$4:$A$203,0)),""))</x:f>
      </x:c>
      <x:c r="M251" s="64"/>
    </x:row>
    <x:row r="252" ht="20" customHeight="1">
      <x:c r="A252" s="68" t="str">
        <x:f t="shared" si="6"/>
      </x:c>
      <x:c r="B252" s="64"/>
      <x:c r="C252" s="68" t="str">
        <x:f>IF(B252="","",IFERROR(INDEX(Planos_Contratos!$B$4:$B$203,MATCH(B252,Planos_Contratos!$A$4:$A$203,0)),""))</x:f>
      </x:c>
      <x:c r="D252" s="68" t="str">
        <x:f>IF(B252="","",IFERROR(INDEX(Planos_Contratos!$C$4:$C$203,MATCH(B252,Planos_Contratos!$A$4:$A$203,0)),""))</x:f>
      </x:c>
      <x:c r="E252" s="72"/>
      <x:c r="F252" s="72"/>
      <x:c r="G252" s="92" t="str">
        <x:f>IF(B252="","",IFERROR(INDEX(Planos_Contratos!$L$4:$L$203,MATCH(B252,Planos_Contratos!$A$4:$A$203,0))/MAX(1,INDEX(Planos_Contratos!$M$4:$M$203,MATCH(B252,Planos_Contratos!$A$4:$A$203,0))),""))</x:f>
      </x:c>
      <x:c r="H252" s="112"/>
      <x:c r="I252" s="92" t="str">
        <x:f t="shared" si="7"/>
      </x:c>
      <x:c r="J252" s="68" t="str">
        <x:f>IF(B252="","",IFERROR(INDEX(Planos_Contratos!$I$4:$I$203,MATCH(B252,Planos_Contratos!$A$4:$A$203,0)),""))</x:f>
      </x:c>
      <x:c r="K252" s="70"/>
      <x:c r="L252" s="96" t="str">
        <x:f>IF(B252="","",IFERROR(INDEX(Planos_Contratos!$M$4:$M$203,MATCH(B252,Planos_Contratos!$A$4:$A$203,0)),""))</x:f>
      </x:c>
      <x:c r="M252" s="64"/>
    </x:row>
    <x:row r="253" ht="20" customHeight="1">
      <x:c r="A253" s="68" t="str">
        <x:f t="shared" si="6"/>
      </x:c>
      <x:c r="B253" s="64"/>
      <x:c r="C253" s="68" t="str">
        <x:f>IF(B253="","",IFERROR(INDEX(Planos_Contratos!$B$4:$B$203,MATCH(B253,Planos_Contratos!$A$4:$A$203,0)),""))</x:f>
      </x:c>
      <x:c r="D253" s="68" t="str">
        <x:f>IF(B253="","",IFERROR(INDEX(Planos_Contratos!$C$4:$C$203,MATCH(B253,Planos_Contratos!$A$4:$A$203,0)),""))</x:f>
      </x:c>
      <x:c r="E253" s="72"/>
      <x:c r="F253" s="72"/>
      <x:c r="G253" s="92" t="str">
        <x:f>IF(B253="","",IFERROR(INDEX(Planos_Contratos!$L$4:$L$203,MATCH(B253,Planos_Contratos!$A$4:$A$203,0))/MAX(1,INDEX(Planos_Contratos!$M$4:$M$203,MATCH(B253,Planos_Contratos!$A$4:$A$203,0))),""))</x:f>
      </x:c>
      <x:c r="H253" s="112"/>
      <x:c r="I253" s="92" t="str">
        <x:f t="shared" si="7"/>
      </x:c>
      <x:c r="J253" s="68" t="str">
        <x:f>IF(B253="","",IFERROR(INDEX(Planos_Contratos!$I$4:$I$203,MATCH(B253,Planos_Contratos!$A$4:$A$203,0)),""))</x:f>
      </x:c>
      <x:c r="K253" s="70"/>
      <x:c r="L253" s="96" t="str">
        <x:f>IF(B253="","",IFERROR(INDEX(Planos_Contratos!$M$4:$M$203,MATCH(B253,Planos_Contratos!$A$4:$A$203,0)),""))</x:f>
      </x:c>
      <x:c r="M253" s="64"/>
    </x:row>
    <x:row r="254" ht="20" customHeight="1">
      <x:c r="A254" s="68" t="str">
        <x:f t="shared" si="6"/>
      </x:c>
      <x:c r="B254" s="64"/>
      <x:c r="C254" s="68" t="str">
        <x:f>IF(B254="","",IFERROR(INDEX(Planos_Contratos!$B$4:$B$203,MATCH(B254,Planos_Contratos!$A$4:$A$203,0)),""))</x:f>
      </x:c>
      <x:c r="D254" s="68" t="str">
        <x:f>IF(B254="","",IFERROR(INDEX(Planos_Contratos!$C$4:$C$203,MATCH(B254,Planos_Contratos!$A$4:$A$203,0)),""))</x:f>
      </x:c>
      <x:c r="E254" s="72"/>
      <x:c r="F254" s="72"/>
      <x:c r="G254" s="92" t="str">
        <x:f>IF(B254="","",IFERROR(INDEX(Planos_Contratos!$L$4:$L$203,MATCH(B254,Planos_Contratos!$A$4:$A$203,0))/MAX(1,INDEX(Planos_Contratos!$M$4:$M$203,MATCH(B254,Planos_Contratos!$A$4:$A$203,0))),""))</x:f>
      </x:c>
      <x:c r="H254" s="112"/>
      <x:c r="I254" s="92" t="str">
        <x:f t="shared" si="7"/>
      </x:c>
      <x:c r="J254" s="68" t="str">
        <x:f>IF(B254="","",IFERROR(INDEX(Planos_Contratos!$I$4:$I$203,MATCH(B254,Planos_Contratos!$A$4:$A$203,0)),""))</x:f>
      </x:c>
      <x:c r="K254" s="70"/>
      <x:c r="L254" s="96" t="str">
        <x:f>IF(B254="","",IFERROR(INDEX(Planos_Contratos!$M$4:$M$203,MATCH(B254,Planos_Contratos!$A$4:$A$203,0)),""))</x:f>
      </x:c>
      <x:c r="M254" s="64"/>
    </x:row>
    <x:row r="255" ht="20" customHeight="1">
      <x:c r="A255" s="68" t="str">
        <x:f t="shared" si="6"/>
      </x:c>
      <x:c r="B255" s="64"/>
      <x:c r="C255" s="68" t="str">
        <x:f>IF(B255="","",IFERROR(INDEX(Planos_Contratos!$B$4:$B$203,MATCH(B255,Planos_Contratos!$A$4:$A$203,0)),""))</x:f>
      </x:c>
      <x:c r="D255" s="68" t="str">
        <x:f>IF(B255="","",IFERROR(INDEX(Planos_Contratos!$C$4:$C$203,MATCH(B255,Planos_Contratos!$A$4:$A$203,0)),""))</x:f>
      </x:c>
      <x:c r="E255" s="72"/>
      <x:c r="F255" s="72"/>
      <x:c r="G255" s="92" t="str">
        <x:f>IF(B255="","",IFERROR(INDEX(Planos_Contratos!$L$4:$L$203,MATCH(B255,Planos_Contratos!$A$4:$A$203,0))/MAX(1,INDEX(Planos_Contratos!$M$4:$M$203,MATCH(B255,Planos_Contratos!$A$4:$A$203,0))),""))</x:f>
      </x:c>
      <x:c r="H255" s="112"/>
      <x:c r="I255" s="92" t="str">
        <x:f t="shared" si="7"/>
      </x:c>
      <x:c r="J255" s="68" t="str">
        <x:f>IF(B255="","",IFERROR(INDEX(Planos_Contratos!$I$4:$I$203,MATCH(B255,Planos_Contratos!$A$4:$A$203,0)),""))</x:f>
      </x:c>
      <x:c r="K255" s="70"/>
      <x:c r="L255" s="96" t="str">
        <x:f>IF(B255="","",IFERROR(INDEX(Planos_Contratos!$M$4:$M$203,MATCH(B255,Planos_Contratos!$A$4:$A$203,0)),""))</x:f>
      </x:c>
      <x:c r="M255" s="64"/>
    </x:row>
    <x:row r="256" ht="20" customHeight="1">
      <x:c r="A256" s="68" t="str">
        <x:f t="shared" si="6"/>
      </x:c>
      <x:c r="B256" s="64"/>
      <x:c r="C256" s="68" t="str">
        <x:f>IF(B256="","",IFERROR(INDEX(Planos_Contratos!$B$4:$B$203,MATCH(B256,Planos_Contratos!$A$4:$A$203,0)),""))</x:f>
      </x:c>
      <x:c r="D256" s="68" t="str">
        <x:f>IF(B256="","",IFERROR(INDEX(Planos_Contratos!$C$4:$C$203,MATCH(B256,Planos_Contratos!$A$4:$A$203,0)),""))</x:f>
      </x:c>
      <x:c r="E256" s="72"/>
      <x:c r="F256" s="72"/>
      <x:c r="G256" s="92" t="str">
        <x:f>IF(B256="","",IFERROR(INDEX(Planos_Contratos!$L$4:$L$203,MATCH(B256,Planos_Contratos!$A$4:$A$203,0))/MAX(1,INDEX(Planos_Contratos!$M$4:$M$203,MATCH(B256,Planos_Contratos!$A$4:$A$203,0))),""))</x:f>
      </x:c>
      <x:c r="H256" s="112"/>
      <x:c r="I256" s="92" t="str">
        <x:f t="shared" si="7"/>
      </x:c>
      <x:c r="J256" s="68" t="str">
        <x:f>IF(B256="","",IFERROR(INDEX(Planos_Contratos!$I$4:$I$203,MATCH(B256,Planos_Contratos!$A$4:$A$203,0)),""))</x:f>
      </x:c>
      <x:c r="K256" s="70"/>
      <x:c r="L256" s="96" t="str">
        <x:f>IF(B256="","",IFERROR(INDEX(Planos_Contratos!$M$4:$M$203,MATCH(B256,Planos_Contratos!$A$4:$A$203,0)),""))</x:f>
      </x:c>
      <x:c r="M256" s="64"/>
    </x:row>
    <x:row r="257" ht="20" customHeight="1">
      <x:c r="A257" s="68" t="str">
        <x:f t="shared" si="6"/>
      </x:c>
      <x:c r="B257" s="64"/>
      <x:c r="C257" s="68" t="str">
        <x:f>IF(B257="","",IFERROR(INDEX(Planos_Contratos!$B$4:$B$203,MATCH(B257,Planos_Contratos!$A$4:$A$203,0)),""))</x:f>
      </x:c>
      <x:c r="D257" s="68" t="str">
        <x:f>IF(B257="","",IFERROR(INDEX(Planos_Contratos!$C$4:$C$203,MATCH(B257,Planos_Contratos!$A$4:$A$203,0)),""))</x:f>
      </x:c>
      <x:c r="E257" s="72"/>
      <x:c r="F257" s="72"/>
      <x:c r="G257" s="92" t="str">
        <x:f>IF(B257="","",IFERROR(INDEX(Planos_Contratos!$L$4:$L$203,MATCH(B257,Planos_Contratos!$A$4:$A$203,0))/MAX(1,INDEX(Planos_Contratos!$M$4:$M$203,MATCH(B257,Planos_Contratos!$A$4:$A$203,0))),""))</x:f>
      </x:c>
      <x:c r="H257" s="112"/>
      <x:c r="I257" s="92" t="str">
        <x:f t="shared" si="7"/>
      </x:c>
      <x:c r="J257" s="68" t="str">
        <x:f>IF(B257="","",IFERROR(INDEX(Planos_Contratos!$I$4:$I$203,MATCH(B257,Planos_Contratos!$A$4:$A$203,0)),""))</x:f>
      </x:c>
      <x:c r="K257" s="70"/>
      <x:c r="L257" s="96" t="str">
        <x:f>IF(B257="","",IFERROR(INDEX(Planos_Contratos!$M$4:$M$203,MATCH(B257,Planos_Contratos!$A$4:$A$203,0)),""))</x:f>
      </x:c>
      <x:c r="M257" s="64"/>
    </x:row>
    <x:row r="258" ht="20" customHeight="1">
      <x:c r="A258" s="68" t="str">
        <x:f t="shared" si="6"/>
      </x:c>
      <x:c r="B258" s="64"/>
      <x:c r="C258" s="68" t="str">
        <x:f>IF(B258="","",IFERROR(INDEX(Planos_Contratos!$B$4:$B$203,MATCH(B258,Planos_Contratos!$A$4:$A$203,0)),""))</x:f>
      </x:c>
      <x:c r="D258" s="68" t="str">
        <x:f>IF(B258="","",IFERROR(INDEX(Planos_Contratos!$C$4:$C$203,MATCH(B258,Planos_Contratos!$A$4:$A$203,0)),""))</x:f>
      </x:c>
      <x:c r="E258" s="72"/>
      <x:c r="F258" s="72"/>
      <x:c r="G258" s="92" t="str">
        <x:f>IF(B258="","",IFERROR(INDEX(Planos_Contratos!$L$4:$L$203,MATCH(B258,Planos_Contratos!$A$4:$A$203,0))/MAX(1,INDEX(Planos_Contratos!$M$4:$M$203,MATCH(B258,Planos_Contratos!$A$4:$A$203,0))),""))</x:f>
      </x:c>
      <x:c r="H258" s="112"/>
      <x:c r="I258" s="92" t="str">
        <x:f t="shared" si="7"/>
      </x:c>
      <x:c r="J258" s="68" t="str">
        <x:f>IF(B258="","",IFERROR(INDEX(Planos_Contratos!$I$4:$I$203,MATCH(B258,Planos_Contratos!$A$4:$A$203,0)),""))</x:f>
      </x:c>
      <x:c r="K258" s="70"/>
      <x:c r="L258" s="96" t="str">
        <x:f>IF(B258="","",IFERROR(INDEX(Planos_Contratos!$M$4:$M$203,MATCH(B258,Planos_Contratos!$A$4:$A$203,0)),""))</x:f>
      </x:c>
      <x:c r="M258" s="64"/>
    </x:row>
    <x:row r="259" ht="20" customHeight="1">
      <x:c r="A259" s="68" t="str">
        <x:f t="shared" si="6"/>
      </x:c>
      <x:c r="B259" s="64"/>
      <x:c r="C259" s="68" t="str">
        <x:f>IF(B259="","",IFERROR(INDEX(Planos_Contratos!$B$4:$B$203,MATCH(B259,Planos_Contratos!$A$4:$A$203,0)),""))</x:f>
      </x:c>
      <x:c r="D259" s="68" t="str">
        <x:f>IF(B259="","",IFERROR(INDEX(Planos_Contratos!$C$4:$C$203,MATCH(B259,Planos_Contratos!$A$4:$A$203,0)),""))</x:f>
      </x:c>
      <x:c r="E259" s="72"/>
      <x:c r="F259" s="72"/>
      <x:c r="G259" s="92" t="str">
        <x:f>IF(B259="","",IFERROR(INDEX(Planos_Contratos!$L$4:$L$203,MATCH(B259,Planos_Contratos!$A$4:$A$203,0))/MAX(1,INDEX(Planos_Contratos!$M$4:$M$203,MATCH(B259,Planos_Contratos!$A$4:$A$203,0))),""))</x:f>
      </x:c>
      <x:c r="H259" s="112"/>
      <x:c r="I259" s="92" t="str">
        <x:f t="shared" si="7"/>
      </x:c>
      <x:c r="J259" s="68" t="str">
        <x:f>IF(B259="","",IFERROR(INDEX(Planos_Contratos!$I$4:$I$203,MATCH(B259,Planos_Contratos!$A$4:$A$203,0)),""))</x:f>
      </x:c>
      <x:c r="K259" s="70"/>
      <x:c r="L259" s="96" t="str">
        <x:f>IF(B259="","",IFERROR(INDEX(Planos_Contratos!$M$4:$M$203,MATCH(B259,Planos_Contratos!$A$4:$A$203,0)),""))</x:f>
      </x:c>
      <x:c r="M259" s="64"/>
    </x:row>
    <x:row r="260" ht="20" customHeight="1">
      <x:c r="A260" s="68" t="str">
        <x:f t="shared" ref="A260:A323" si="8">IF(B260="","",ROW()-3)</x:f>
      </x:c>
      <x:c r="B260" s="64"/>
      <x:c r="C260" s="68" t="str">
        <x:f>IF(B260="","",IFERROR(INDEX(Planos_Contratos!$B$4:$B$203,MATCH(B260,Planos_Contratos!$A$4:$A$203,0)),""))</x:f>
      </x:c>
      <x:c r="D260" s="68" t="str">
        <x:f>IF(B260="","",IFERROR(INDEX(Planos_Contratos!$C$4:$C$203,MATCH(B260,Planos_Contratos!$A$4:$A$203,0)),""))</x:f>
      </x:c>
      <x:c r="E260" s="72"/>
      <x:c r="F260" s="72"/>
      <x:c r="G260" s="92" t="str">
        <x:f>IF(B260="","",IFERROR(INDEX(Planos_Contratos!$L$4:$L$203,MATCH(B260,Planos_Contratos!$A$4:$A$203,0))/MAX(1,INDEX(Planos_Contratos!$M$4:$M$203,MATCH(B260,Planos_Contratos!$A$4:$A$203,0))),""))</x:f>
      </x:c>
      <x:c r="H260" s="112"/>
      <x:c r="I260" s="92" t="str">
        <x:f t="shared" ref="I260:I323" si="9">IF(G260="","",G260-H260)</x:f>
      </x:c>
      <x:c r="J260" s="68" t="str">
        <x:f>IF(B260="","",IFERROR(INDEX(Planos_Contratos!$I$4:$I$203,MATCH(B260,Planos_Contratos!$A$4:$A$203,0)),""))</x:f>
      </x:c>
      <x:c r="K260" s="70"/>
      <x:c r="L260" s="96" t="str">
        <x:f>IF(B260="","",IFERROR(INDEX(Planos_Contratos!$M$4:$M$203,MATCH(B260,Planos_Contratos!$A$4:$A$203,0)),""))</x:f>
      </x:c>
      <x:c r="M260" s="64"/>
    </x:row>
    <x:row r="261" ht="20" customHeight="1">
      <x:c r="A261" s="68" t="str">
        <x:f t="shared" si="8"/>
      </x:c>
      <x:c r="B261" s="64"/>
      <x:c r="C261" s="68" t="str">
        <x:f>IF(B261="","",IFERROR(INDEX(Planos_Contratos!$B$4:$B$203,MATCH(B261,Planos_Contratos!$A$4:$A$203,0)),""))</x:f>
      </x:c>
      <x:c r="D261" s="68" t="str">
        <x:f>IF(B261="","",IFERROR(INDEX(Planos_Contratos!$C$4:$C$203,MATCH(B261,Planos_Contratos!$A$4:$A$203,0)),""))</x:f>
      </x:c>
      <x:c r="E261" s="72"/>
      <x:c r="F261" s="72"/>
      <x:c r="G261" s="92" t="str">
        <x:f>IF(B261="","",IFERROR(INDEX(Planos_Contratos!$L$4:$L$203,MATCH(B261,Planos_Contratos!$A$4:$A$203,0))/MAX(1,INDEX(Planos_Contratos!$M$4:$M$203,MATCH(B261,Planos_Contratos!$A$4:$A$203,0))),""))</x:f>
      </x:c>
      <x:c r="H261" s="112"/>
      <x:c r="I261" s="92" t="str">
        <x:f t="shared" si="9"/>
      </x:c>
      <x:c r="J261" s="68" t="str">
        <x:f>IF(B261="","",IFERROR(INDEX(Planos_Contratos!$I$4:$I$203,MATCH(B261,Planos_Contratos!$A$4:$A$203,0)),""))</x:f>
      </x:c>
      <x:c r="K261" s="70"/>
      <x:c r="L261" s="96" t="str">
        <x:f>IF(B261="","",IFERROR(INDEX(Planos_Contratos!$M$4:$M$203,MATCH(B261,Planos_Contratos!$A$4:$A$203,0)),""))</x:f>
      </x:c>
      <x:c r="M261" s="64"/>
    </x:row>
    <x:row r="262" ht="20" customHeight="1">
      <x:c r="A262" s="68" t="str">
        <x:f t="shared" si="8"/>
      </x:c>
      <x:c r="B262" s="64"/>
      <x:c r="C262" s="68" t="str">
        <x:f>IF(B262="","",IFERROR(INDEX(Planos_Contratos!$B$4:$B$203,MATCH(B262,Planos_Contratos!$A$4:$A$203,0)),""))</x:f>
      </x:c>
      <x:c r="D262" s="68" t="str">
        <x:f>IF(B262="","",IFERROR(INDEX(Planos_Contratos!$C$4:$C$203,MATCH(B262,Planos_Contratos!$A$4:$A$203,0)),""))</x:f>
      </x:c>
      <x:c r="E262" s="72"/>
      <x:c r="F262" s="72"/>
      <x:c r="G262" s="92" t="str">
        <x:f>IF(B262="","",IFERROR(INDEX(Planos_Contratos!$L$4:$L$203,MATCH(B262,Planos_Contratos!$A$4:$A$203,0))/MAX(1,INDEX(Planos_Contratos!$M$4:$M$203,MATCH(B262,Planos_Contratos!$A$4:$A$203,0))),""))</x:f>
      </x:c>
      <x:c r="H262" s="112"/>
      <x:c r="I262" s="92" t="str">
        <x:f t="shared" si="9"/>
      </x:c>
      <x:c r="J262" s="68" t="str">
        <x:f>IF(B262="","",IFERROR(INDEX(Planos_Contratos!$I$4:$I$203,MATCH(B262,Planos_Contratos!$A$4:$A$203,0)),""))</x:f>
      </x:c>
      <x:c r="K262" s="70"/>
      <x:c r="L262" s="96" t="str">
        <x:f>IF(B262="","",IFERROR(INDEX(Planos_Contratos!$M$4:$M$203,MATCH(B262,Planos_Contratos!$A$4:$A$203,0)),""))</x:f>
      </x:c>
      <x:c r="M262" s="64"/>
    </x:row>
    <x:row r="263" ht="20" customHeight="1">
      <x:c r="A263" s="68" t="str">
        <x:f t="shared" si="8"/>
      </x:c>
      <x:c r="B263" s="64"/>
      <x:c r="C263" s="68" t="str">
        <x:f>IF(B263="","",IFERROR(INDEX(Planos_Contratos!$B$4:$B$203,MATCH(B263,Planos_Contratos!$A$4:$A$203,0)),""))</x:f>
      </x:c>
      <x:c r="D263" s="68" t="str">
        <x:f>IF(B263="","",IFERROR(INDEX(Planos_Contratos!$C$4:$C$203,MATCH(B263,Planos_Contratos!$A$4:$A$203,0)),""))</x:f>
      </x:c>
      <x:c r="E263" s="72"/>
      <x:c r="F263" s="72"/>
      <x:c r="G263" s="92" t="str">
        <x:f>IF(B263="","",IFERROR(INDEX(Planos_Contratos!$L$4:$L$203,MATCH(B263,Planos_Contratos!$A$4:$A$203,0))/MAX(1,INDEX(Planos_Contratos!$M$4:$M$203,MATCH(B263,Planos_Contratos!$A$4:$A$203,0))),""))</x:f>
      </x:c>
      <x:c r="H263" s="112"/>
      <x:c r="I263" s="92" t="str">
        <x:f t="shared" si="9"/>
      </x:c>
      <x:c r="J263" s="68" t="str">
        <x:f>IF(B263="","",IFERROR(INDEX(Planos_Contratos!$I$4:$I$203,MATCH(B263,Planos_Contratos!$A$4:$A$203,0)),""))</x:f>
      </x:c>
      <x:c r="K263" s="70"/>
      <x:c r="L263" s="96" t="str">
        <x:f>IF(B263="","",IFERROR(INDEX(Planos_Contratos!$M$4:$M$203,MATCH(B263,Planos_Contratos!$A$4:$A$203,0)),""))</x:f>
      </x:c>
      <x:c r="M263" s="64"/>
    </x:row>
    <x:row r="264" ht="20" customHeight="1">
      <x:c r="A264" s="68" t="str">
        <x:f t="shared" si="8"/>
      </x:c>
      <x:c r="B264" s="64"/>
      <x:c r="C264" s="68" t="str">
        <x:f>IF(B264="","",IFERROR(INDEX(Planos_Contratos!$B$4:$B$203,MATCH(B264,Planos_Contratos!$A$4:$A$203,0)),""))</x:f>
      </x:c>
      <x:c r="D264" s="68" t="str">
        <x:f>IF(B264="","",IFERROR(INDEX(Planos_Contratos!$C$4:$C$203,MATCH(B264,Planos_Contratos!$A$4:$A$203,0)),""))</x:f>
      </x:c>
      <x:c r="E264" s="72"/>
      <x:c r="F264" s="72"/>
      <x:c r="G264" s="92" t="str">
        <x:f>IF(B264="","",IFERROR(INDEX(Planos_Contratos!$L$4:$L$203,MATCH(B264,Planos_Contratos!$A$4:$A$203,0))/MAX(1,INDEX(Planos_Contratos!$M$4:$M$203,MATCH(B264,Planos_Contratos!$A$4:$A$203,0))),""))</x:f>
      </x:c>
      <x:c r="H264" s="112"/>
      <x:c r="I264" s="92" t="str">
        <x:f t="shared" si="9"/>
      </x:c>
      <x:c r="J264" s="68" t="str">
        <x:f>IF(B264="","",IFERROR(INDEX(Planos_Contratos!$I$4:$I$203,MATCH(B264,Planos_Contratos!$A$4:$A$203,0)),""))</x:f>
      </x:c>
      <x:c r="K264" s="70"/>
      <x:c r="L264" s="96" t="str">
        <x:f>IF(B264="","",IFERROR(INDEX(Planos_Contratos!$M$4:$M$203,MATCH(B264,Planos_Contratos!$A$4:$A$203,0)),""))</x:f>
      </x:c>
      <x:c r="M264" s="64"/>
    </x:row>
    <x:row r="265" ht="20" customHeight="1">
      <x:c r="A265" s="68" t="str">
        <x:f t="shared" si="8"/>
      </x:c>
      <x:c r="B265" s="64"/>
      <x:c r="C265" s="68" t="str">
        <x:f>IF(B265="","",IFERROR(INDEX(Planos_Contratos!$B$4:$B$203,MATCH(B265,Planos_Contratos!$A$4:$A$203,0)),""))</x:f>
      </x:c>
      <x:c r="D265" s="68" t="str">
        <x:f>IF(B265="","",IFERROR(INDEX(Planos_Contratos!$C$4:$C$203,MATCH(B265,Planos_Contratos!$A$4:$A$203,0)),""))</x:f>
      </x:c>
      <x:c r="E265" s="72"/>
      <x:c r="F265" s="72"/>
      <x:c r="G265" s="92" t="str">
        <x:f>IF(B265="","",IFERROR(INDEX(Planos_Contratos!$L$4:$L$203,MATCH(B265,Planos_Contratos!$A$4:$A$203,0))/MAX(1,INDEX(Planos_Contratos!$M$4:$M$203,MATCH(B265,Planos_Contratos!$A$4:$A$203,0))),""))</x:f>
      </x:c>
      <x:c r="H265" s="112"/>
      <x:c r="I265" s="92" t="str">
        <x:f t="shared" si="9"/>
      </x:c>
      <x:c r="J265" s="68" t="str">
        <x:f>IF(B265="","",IFERROR(INDEX(Planos_Contratos!$I$4:$I$203,MATCH(B265,Planos_Contratos!$A$4:$A$203,0)),""))</x:f>
      </x:c>
      <x:c r="K265" s="70"/>
      <x:c r="L265" s="96" t="str">
        <x:f>IF(B265="","",IFERROR(INDEX(Planos_Contratos!$M$4:$M$203,MATCH(B265,Planos_Contratos!$A$4:$A$203,0)),""))</x:f>
      </x:c>
      <x:c r="M265" s="64"/>
    </x:row>
    <x:row r="266" ht="20" customHeight="1">
      <x:c r="A266" s="68" t="str">
        <x:f t="shared" si="8"/>
      </x:c>
      <x:c r="B266" s="64"/>
      <x:c r="C266" s="68" t="str">
        <x:f>IF(B266="","",IFERROR(INDEX(Planos_Contratos!$B$4:$B$203,MATCH(B266,Planos_Contratos!$A$4:$A$203,0)),""))</x:f>
      </x:c>
      <x:c r="D266" s="68" t="str">
        <x:f>IF(B266="","",IFERROR(INDEX(Planos_Contratos!$C$4:$C$203,MATCH(B266,Planos_Contratos!$A$4:$A$203,0)),""))</x:f>
      </x:c>
      <x:c r="E266" s="72"/>
      <x:c r="F266" s="72"/>
      <x:c r="G266" s="92" t="str">
        <x:f>IF(B266="","",IFERROR(INDEX(Planos_Contratos!$L$4:$L$203,MATCH(B266,Planos_Contratos!$A$4:$A$203,0))/MAX(1,INDEX(Planos_Contratos!$M$4:$M$203,MATCH(B266,Planos_Contratos!$A$4:$A$203,0))),""))</x:f>
      </x:c>
      <x:c r="H266" s="112"/>
      <x:c r="I266" s="92" t="str">
        <x:f t="shared" si="9"/>
      </x:c>
      <x:c r="J266" s="68" t="str">
        <x:f>IF(B266="","",IFERROR(INDEX(Planos_Contratos!$I$4:$I$203,MATCH(B266,Planos_Contratos!$A$4:$A$203,0)),""))</x:f>
      </x:c>
      <x:c r="K266" s="70"/>
      <x:c r="L266" s="96" t="str">
        <x:f>IF(B266="","",IFERROR(INDEX(Planos_Contratos!$M$4:$M$203,MATCH(B266,Planos_Contratos!$A$4:$A$203,0)),""))</x:f>
      </x:c>
      <x:c r="M266" s="64"/>
    </x:row>
    <x:row r="267" ht="20" customHeight="1">
      <x:c r="A267" s="68" t="str">
        <x:f t="shared" si="8"/>
      </x:c>
      <x:c r="B267" s="64"/>
      <x:c r="C267" s="68" t="str">
        <x:f>IF(B267="","",IFERROR(INDEX(Planos_Contratos!$B$4:$B$203,MATCH(B267,Planos_Contratos!$A$4:$A$203,0)),""))</x:f>
      </x:c>
      <x:c r="D267" s="68" t="str">
        <x:f>IF(B267="","",IFERROR(INDEX(Planos_Contratos!$C$4:$C$203,MATCH(B267,Planos_Contratos!$A$4:$A$203,0)),""))</x:f>
      </x:c>
      <x:c r="E267" s="72"/>
      <x:c r="F267" s="72"/>
      <x:c r="G267" s="92" t="str">
        <x:f>IF(B267="","",IFERROR(INDEX(Planos_Contratos!$L$4:$L$203,MATCH(B267,Planos_Contratos!$A$4:$A$203,0))/MAX(1,INDEX(Planos_Contratos!$M$4:$M$203,MATCH(B267,Planos_Contratos!$A$4:$A$203,0))),""))</x:f>
      </x:c>
      <x:c r="H267" s="112"/>
      <x:c r="I267" s="92" t="str">
        <x:f t="shared" si="9"/>
      </x:c>
      <x:c r="J267" s="68" t="str">
        <x:f>IF(B267="","",IFERROR(INDEX(Planos_Contratos!$I$4:$I$203,MATCH(B267,Planos_Contratos!$A$4:$A$203,0)),""))</x:f>
      </x:c>
      <x:c r="K267" s="70"/>
      <x:c r="L267" s="96" t="str">
        <x:f>IF(B267="","",IFERROR(INDEX(Planos_Contratos!$M$4:$M$203,MATCH(B267,Planos_Contratos!$A$4:$A$203,0)),""))</x:f>
      </x:c>
      <x:c r="M267" s="64"/>
    </x:row>
    <x:row r="268" ht="20" customHeight="1">
      <x:c r="A268" s="68" t="str">
        <x:f t="shared" si="8"/>
      </x:c>
      <x:c r="B268" s="64"/>
      <x:c r="C268" s="68" t="str">
        <x:f>IF(B268="","",IFERROR(INDEX(Planos_Contratos!$B$4:$B$203,MATCH(B268,Planos_Contratos!$A$4:$A$203,0)),""))</x:f>
      </x:c>
      <x:c r="D268" s="68" t="str">
        <x:f>IF(B268="","",IFERROR(INDEX(Planos_Contratos!$C$4:$C$203,MATCH(B268,Planos_Contratos!$A$4:$A$203,0)),""))</x:f>
      </x:c>
      <x:c r="E268" s="72"/>
      <x:c r="F268" s="72"/>
      <x:c r="G268" s="92" t="str">
        <x:f>IF(B268="","",IFERROR(INDEX(Planos_Contratos!$L$4:$L$203,MATCH(B268,Planos_Contratos!$A$4:$A$203,0))/MAX(1,INDEX(Planos_Contratos!$M$4:$M$203,MATCH(B268,Planos_Contratos!$A$4:$A$203,0))),""))</x:f>
      </x:c>
      <x:c r="H268" s="112"/>
      <x:c r="I268" s="92" t="str">
        <x:f t="shared" si="9"/>
      </x:c>
      <x:c r="J268" s="68" t="str">
        <x:f>IF(B268="","",IFERROR(INDEX(Planos_Contratos!$I$4:$I$203,MATCH(B268,Planos_Contratos!$A$4:$A$203,0)),""))</x:f>
      </x:c>
      <x:c r="K268" s="70"/>
      <x:c r="L268" s="96" t="str">
        <x:f>IF(B268="","",IFERROR(INDEX(Planos_Contratos!$M$4:$M$203,MATCH(B268,Planos_Contratos!$A$4:$A$203,0)),""))</x:f>
      </x:c>
      <x:c r="M268" s="64"/>
    </x:row>
    <x:row r="269" ht="20" customHeight="1">
      <x:c r="A269" s="68" t="str">
        <x:f t="shared" si="8"/>
      </x:c>
      <x:c r="B269" s="64"/>
      <x:c r="C269" s="68" t="str">
        <x:f>IF(B269="","",IFERROR(INDEX(Planos_Contratos!$B$4:$B$203,MATCH(B269,Planos_Contratos!$A$4:$A$203,0)),""))</x:f>
      </x:c>
      <x:c r="D269" s="68" t="str">
        <x:f>IF(B269="","",IFERROR(INDEX(Planos_Contratos!$C$4:$C$203,MATCH(B269,Planos_Contratos!$A$4:$A$203,0)),""))</x:f>
      </x:c>
      <x:c r="E269" s="72"/>
      <x:c r="F269" s="72"/>
      <x:c r="G269" s="92" t="str">
        <x:f>IF(B269="","",IFERROR(INDEX(Planos_Contratos!$L$4:$L$203,MATCH(B269,Planos_Contratos!$A$4:$A$203,0))/MAX(1,INDEX(Planos_Contratos!$M$4:$M$203,MATCH(B269,Planos_Contratos!$A$4:$A$203,0))),""))</x:f>
      </x:c>
      <x:c r="H269" s="112"/>
      <x:c r="I269" s="92" t="str">
        <x:f t="shared" si="9"/>
      </x:c>
      <x:c r="J269" s="68" t="str">
        <x:f>IF(B269="","",IFERROR(INDEX(Planos_Contratos!$I$4:$I$203,MATCH(B269,Planos_Contratos!$A$4:$A$203,0)),""))</x:f>
      </x:c>
      <x:c r="K269" s="70"/>
      <x:c r="L269" s="96" t="str">
        <x:f>IF(B269="","",IFERROR(INDEX(Planos_Contratos!$M$4:$M$203,MATCH(B269,Planos_Contratos!$A$4:$A$203,0)),""))</x:f>
      </x:c>
      <x:c r="M269" s="64"/>
    </x:row>
    <x:row r="270" ht="20" customHeight="1">
      <x:c r="A270" s="68" t="str">
        <x:f t="shared" si="8"/>
      </x:c>
      <x:c r="B270" s="64"/>
      <x:c r="C270" s="68" t="str">
        <x:f>IF(B270="","",IFERROR(INDEX(Planos_Contratos!$B$4:$B$203,MATCH(B270,Planos_Contratos!$A$4:$A$203,0)),""))</x:f>
      </x:c>
      <x:c r="D270" s="68" t="str">
        <x:f>IF(B270="","",IFERROR(INDEX(Planos_Contratos!$C$4:$C$203,MATCH(B270,Planos_Contratos!$A$4:$A$203,0)),""))</x:f>
      </x:c>
      <x:c r="E270" s="72"/>
      <x:c r="F270" s="72"/>
      <x:c r="G270" s="92" t="str">
        <x:f>IF(B270="","",IFERROR(INDEX(Planos_Contratos!$L$4:$L$203,MATCH(B270,Planos_Contratos!$A$4:$A$203,0))/MAX(1,INDEX(Planos_Contratos!$M$4:$M$203,MATCH(B270,Planos_Contratos!$A$4:$A$203,0))),""))</x:f>
      </x:c>
      <x:c r="H270" s="112"/>
      <x:c r="I270" s="92" t="str">
        <x:f t="shared" si="9"/>
      </x:c>
      <x:c r="J270" s="68" t="str">
        <x:f>IF(B270="","",IFERROR(INDEX(Planos_Contratos!$I$4:$I$203,MATCH(B270,Planos_Contratos!$A$4:$A$203,0)),""))</x:f>
      </x:c>
      <x:c r="K270" s="70"/>
      <x:c r="L270" s="96" t="str">
        <x:f>IF(B270="","",IFERROR(INDEX(Planos_Contratos!$M$4:$M$203,MATCH(B270,Planos_Contratos!$A$4:$A$203,0)),""))</x:f>
      </x:c>
      <x:c r="M270" s="64"/>
    </x:row>
    <x:row r="271" ht="20" customHeight="1">
      <x:c r="A271" s="68" t="str">
        <x:f t="shared" si="8"/>
      </x:c>
      <x:c r="B271" s="64"/>
      <x:c r="C271" s="68" t="str">
        <x:f>IF(B271="","",IFERROR(INDEX(Planos_Contratos!$B$4:$B$203,MATCH(B271,Planos_Contratos!$A$4:$A$203,0)),""))</x:f>
      </x:c>
      <x:c r="D271" s="68" t="str">
        <x:f>IF(B271="","",IFERROR(INDEX(Planos_Contratos!$C$4:$C$203,MATCH(B271,Planos_Contratos!$A$4:$A$203,0)),""))</x:f>
      </x:c>
      <x:c r="E271" s="72"/>
      <x:c r="F271" s="72"/>
      <x:c r="G271" s="92" t="str">
        <x:f>IF(B271="","",IFERROR(INDEX(Planos_Contratos!$L$4:$L$203,MATCH(B271,Planos_Contratos!$A$4:$A$203,0))/MAX(1,INDEX(Planos_Contratos!$M$4:$M$203,MATCH(B271,Planos_Contratos!$A$4:$A$203,0))),""))</x:f>
      </x:c>
      <x:c r="H271" s="112"/>
      <x:c r="I271" s="92" t="str">
        <x:f t="shared" si="9"/>
      </x:c>
      <x:c r="J271" s="68" t="str">
        <x:f>IF(B271="","",IFERROR(INDEX(Planos_Contratos!$I$4:$I$203,MATCH(B271,Planos_Contratos!$A$4:$A$203,0)),""))</x:f>
      </x:c>
      <x:c r="K271" s="70"/>
      <x:c r="L271" s="96" t="str">
        <x:f>IF(B271="","",IFERROR(INDEX(Planos_Contratos!$M$4:$M$203,MATCH(B271,Planos_Contratos!$A$4:$A$203,0)),""))</x:f>
      </x:c>
      <x:c r="M271" s="64"/>
    </x:row>
    <x:row r="272" ht="20" customHeight="1">
      <x:c r="A272" s="68" t="str">
        <x:f t="shared" si="8"/>
      </x:c>
      <x:c r="B272" s="64"/>
      <x:c r="C272" s="68" t="str">
        <x:f>IF(B272="","",IFERROR(INDEX(Planos_Contratos!$B$4:$B$203,MATCH(B272,Planos_Contratos!$A$4:$A$203,0)),""))</x:f>
      </x:c>
      <x:c r="D272" s="68" t="str">
        <x:f>IF(B272="","",IFERROR(INDEX(Planos_Contratos!$C$4:$C$203,MATCH(B272,Planos_Contratos!$A$4:$A$203,0)),""))</x:f>
      </x:c>
      <x:c r="E272" s="72"/>
      <x:c r="F272" s="72"/>
      <x:c r="G272" s="92" t="str">
        <x:f>IF(B272="","",IFERROR(INDEX(Planos_Contratos!$L$4:$L$203,MATCH(B272,Planos_Contratos!$A$4:$A$203,0))/MAX(1,INDEX(Planos_Contratos!$M$4:$M$203,MATCH(B272,Planos_Contratos!$A$4:$A$203,0))),""))</x:f>
      </x:c>
      <x:c r="H272" s="112"/>
      <x:c r="I272" s="92" t="str">
        <x:f t="shared" si="9"/>
      </x:c>
      <x:c r="J272" s="68" t="str">
        <x:f>IF(B272="","",IFERROR(INDEX(Planos_Contratos!$I$4:$I$203,MATCH(B272,Planos_Contratos!$A$4:$A$203,0)),""))</x:f>
      </x:c>
      <x:c r="K272" s="70"/>
      <x:c r="L272" s="96" t="str">
        <x:f>IF(B272="","",IFERROR(INDEX(Planos_Contratos!$M$4:$M$203,MATCH(B272,Planos_Contratos!$A$4:$A$203,0)),""))</x:f>
      </x:c>
      <x:c r="M272" s="64"/>
    </x:row>
    <x:row r="273" ht="20" customHeight="1">
      <x:c r="A273" s="68" t="str">
        <x:f t="shared" si="8"/>
      </x:c>
      <x:c r="B273" s="64"/>
      <x:c r="C273" s="68" t="str">
        <x:f>IF(B273="","",IFERROR(INDEX(Planos_Contratos!$B$4:$B$203,MATCH(B273,Planos_Contratos!$A$4:$A$203,0)),""))</x:f>
      </x:c>
      <x:c r="D273" s="68" t="str">
        <x:f>IF(B273="","",IFERROR(INDEX(Planos_Contratos!$C$4:$C$203,MATCH(B273,Planos_Contratos!$A$4:$A$203,0)),""))</x:f>
      </x:c>
      <x:c r="E273" s="72"/>
      <x:c r="F273" s="72"/>
      <x:c r="G273" s="92" t="str">
        <x:f>IF(B273="","",IFERROR(INDEX(Planos_Contratos!$L$4:$L$203,MATCH(B273,Planos_Contratos!$A$4:$A$203,0))/MAX(1,INDEX(Planos_Contratos!$M$4:$M$203,MATCH(B273,Planos_Contratos!$A$4:$A$203,0))),""))</x:f>
      </x:c>
      <x:c r="H273" s="112"/>
      <x:c r="I273" s="92" t="str">
        <x:f t="shared" si="9"/>
      </x:c>
      <x:c r="J273" s="68" t="str">
        <x:f>IF(B273="","",IFERROR(INDEX(Planos_Contratos!$I$4:$I$203,MATCH(B273,Planos_Contratos!$A$4:$A$203,0)),""))</x:f>
      </x:c>
      <x:c r="K273" s="70"/>
      <x:c r="L273" s="96" t="str">
        <x:f>IF(B273="","",IFERROR(INDEX(Planos_Contratos!$M$4:$M$203,MATCH(B273,Planos_Contratos!$A$4:$A$203,0)),""))</x:f>
      </x:c>
      <x:c r="M273" s="64"/>
    </x:row>
    <x:row r="274" ht="20" customHeight="1">
      <x:c r="A274" s="68" t="str">
        <x:f t="shared" si="8"/>
      </x:c>
      <x:c r="B274" s="64"/>
      <x:c r="C274" s="68" t="str">
        <x:f>IF(B274="","",IFERROR(INDEX(Planos_Contratos!$B$4:$B$203,MATCH(B274,Planos_Contratos!$A$4:$A$203,0)),""))</x:f>
      </x:c>
      <x:c r="D274" s="68" t="str">
        <x:f>IF(B274="","",IFERROR(INDEX(Planos_Contratos!$C$4:$C$203,MATCH(B274,Planos_Contratos!$A$4:$A$203,0)),""))</x:f>
      </x:c>
      <x:c r="E274" s="72"/>
      <x:c r="F274" s="72"/>
      <x:c r="G274" s="92" t="str">
        <x:f>IF(B274="","",IFERROR(INDEX(Planos_Contratos!$L$4:$L$203,MATCH(B274,Planos_Contratos!$A$4:$A$203,0))/MAX(1,INDEX(Planos_Contratos!$M$4:$M$203,MATCH(B274,Planos_Contratos!$A$4:$A$203,0))),""))</x:f>
      </x:c>
      <x:c r="H274" s="112"/>
      <x:c r="I274" s="92" t="str">
        <x:f t="shared" si="9"/>
      </x:c>
      <x:c r="J274" s="68" t="str">
        <x:f>IF(B274="","",IFERROR(INDEX(Planos_Contratos!$I$4:$I$203,MATCH(B274,Planos_Contratos!$A$4:$A$203,0)),""))</x:f>
      </x:c>
      <x:c r="K274" s="70"/>
      <x:c r="L274" s="96" t="str">
        <x:f>IF(B274="","",IFERROR(INDEX(Planos_Contratos!$M$4:$M$203,MATCH(B274,Planos_Contratos!$A$4:$A$203,0)),""))</x:f>
      </x:c>
      <x:c r="M274" s="64"/>
    </x:row>
    <x:row r="275" ht="20" customHeight="1">
      <x:c r="A275" s="68" t="str">
        <x:f t="shared" si="8"/>
      </x:c>
      <x:c r="B275" s="64"/>
      <x:c r="C275" s="68" t="str">
        <x:f>IF(B275="","",IFERROR(INDEX(Planos_Contratos!$B$4:$B$203,MATCH(B275,Planos_Contratos!$A$4:$A$203,0)),""))</x:f>
      </x:c>
      <x:c r="D275" s="68" t="str">
        <x:f>IF(B275="","",IFERROR(INDEX(Planos_Contratos!$C$4:$C$203,MATCH(B275,Planos_Contratos!$A$4:$A$203,0)),""))</x:f>
      </x:c>
      <x:c r="E275" s="72"/>
      <x:c r="F275" s="72"/>
      <x:c r="G275" s="92" t="str">
        <x:f>IF(B275="","",IFERROR(INDEX(Planos_Contratos!$L$4:$L$203,MATCH(B275,Planos_Contratos!$A$4:$A$203,0))/MAX(1,INDEX(Planos_Contratos!$M$4:$M$203,MATCH(B275,Planos_Contratos!$A$4:$A$203,0))),""))</x:f>
      </x:c>
      <x:c r="H275" s="112"/>
      <x:c r="I275" s="92" t="str">
        <x:f t="shared" si="9"/>
      </x:c>
      <x:c r="J275" s="68" t="str">
        <x:f>IF(B275="","",IFERROR(INDEX(Planos_Contratos!$I$4:$I$203,MATCH(B275,Planos_Contratos!$A$4:$A$203,0)),""))</x:f>
      </x:c>
      <x:c r="K275" s="70"/>
      <x:c r="L275" s="96" t="str">
        <x:f>IF(B275="","",IFERROR(INDEX(Planos_Contratos!$M$4:$M$203,MATCH(B275,Planos_Contratos!$A$4:$A$203,0)),""))</x:f>
      </x:c>
      <x:c r="M275" s="64"/>
    </x:row>
    <x:row r="276" ht="20" customHeight="1">
      <x:c r="A276" s="68" t="str">
        <x:f t="shared" si="8"/>
      </x:c>
      <x:c r="B276" s="64"/>
      <x:c r="C276" s="68" t="str">
        <x:f>IF(B276="","",IFERROR(INDEX(Planos_Contratos!$B$4:$B$203,MATCH(B276,Planos_Contratos!$A$4:$A$203,0)),""))</x:f>
      </x:c>
      <x:c r="D276" s="68" t="str">
        <x:f>IF(B276="","",IFERROR(INDEX(Planos_Contratos!$C$4:$C$203,MATCH(B276,Planos_Contratos!$A$4:$A$203,0)),""))</x:f>
      </x:c>
      <x:c r="E276" s="72"/>
      <x:c r="F276" s="72"/>
      <x:c r="G276" s="92" t="str">
        <x:f>IF(B276="","",IFERROR(INDEX(Planos_Contratos!$L$4:$L$203,MATCH(B276,Planos_Contratos!$A$4:$A$203,0))/MAX(1,INDEX(Planos_Contratos!$M$4:$M$203,MATCH(B276,Planos_Contratos!$A$4:$A$203,0))),""))</x:f>
      </x:c>
      <x:c r="H276" s="112"/>
      <x:c r="I276" s="92" t="str">
        <x:f t="shared" si="9"/>
      </x:c>
      <x:c r="J276" s="68" t="str">
        <x:f>IF(B276="","",IFERROR(INDEX(Planos_Contratos!$I$4:$I$203,MATCH(B276,Planos_Contratos!$A$4:$A$203,0)),""))</x:f>
      </x:c>
      <x:c r="K276" s="70"/>
      <x:c r="L276" s="96" t="str">
        <x:f>IF(B276="","",IFERROR(INDEX(Planos_Contratos!$M$4:$M$203,MATCH(B276,Planos_Contratos!$A$4:$A$203,0)),""))</x:f>
      </x:c>
      <x:c r="M276" s="64"/>
    </x:row>
    <x:row r="277" ht="20" customHeight="1">
      <x:c r="A277" s="68" t="str">
        <x:f t="shared" si="8"/>
      </x:c>
      <x:c r="B277" s="64"/>
      <x:c r="C277" s="68" t="str">
        <x:f>IF(B277="","",IFERROR(INDEX(Planos_Contratos!$B$4:$B$203,MATCH(B277,Planos_Contratos!$A$4:$A$203,0)),""))</x:f>
      </x:c>
      <x:c r="D277" s="68" t="str">
        <x:f>IF(B277="","",IFERROR(INDEX(Planos_Contratos!$C$4:$C$203,MATCH(B277,Planos_Contratos!$A$4:$A$203,0)),""))</x:f>
      </x:c>
      <x:c r="E277" s="72"/>
      <x:c r="F277" s="72"/>
      <x:c r="G277" s="92" t="str">
        <x:f>IF(B277="","",IFERROR(INDEX(Planos_Contratos!$L$4:$L$203,MATCH(B277,Planos_Contratos!$A$4:$A$203,0))/MAX(1,INDEX(Planos_Contratos!$M$4:$M$203,MATCH(B277,Planos_Contratos!$A$4:$A$203,0))),""))</x:f>
      </x:c>
      <x:c r="H277" s="112"/>
      <x:c r="I277" s="92" t="str">
        <x:f t="shared" si="9"/>
      </x:c>
      <x:c r="J277" s="68" t="str">
        <x:f>IF(B277="","",IFERROR(INDEX(Planos_Contratos!$I$4:$I$203,MATCH(B277,Planos_Contratos!$A$4:$A$203,0)),""))</x:f>
      </x:c>
      <x:c r="K277" s="70"/>
      <x:c r="L277" s="96" t="str">
        <x:f>IF(B277="","",IFERROR(INDEX(Planos_Contratos!$M$4:$M$203,MATCH(B277,Planos_Contratos!$A$4:$A$203,0)),""))</x:f>
      </x:c>
      <x:c r="M277" s="64"/>
    </x:row>
    <x:row r="278" ht="20" customHeight="1">
      <x:c r="A278" s="68" t="str">
        <x:f t="shared" si="8"/>
      </x:c>
      <x:c r="B278" s="64"/>
      <x:c r="C278" s="68" t="str">
        <x:f>IF(B278="","",IFERROR(INDEX(Planos_Contratos!$B$4:$B$203,MATCH(B278,Planos_Contratos!$A$4:$A$203,0)),""))</x:f>
      </x:c>
      <x:c r="D278" s="68" t="str">
        <x:f>IF(B278="","",IFERROR(INDEX(Planos_Contratos!$C$4:$C$203,MATCH(B278,Planos_Contratos!$A$4:$A$203,0)),""))</x:f>
      </x:c>
      <x:c r="E278" s="72"/>
      <x:c r="F278" s="72"/>
      <x:c r="G278" s="92" t="str">
        <x:f>IF(B278="","",IFERROR(INDEX(Planos_Contratos!$L$4:$L$203,MATCH(B278,Planos_Contratos!$A$4:$A$203,0))/MAX(1,INDEX(Planos_Contratos!$M$4:$M$203,MATCH(B278,Planos_Contratos!$A$4:$A$203,0))),""))</x:f>
      </x:c>
      <x:c r="H278" s="112"/>
      <x:c r="I278" s="92" t="str">
        <x:f t="shared" si="9"/>
      </x:c>
      <x:c r="J278" s="68" t="str">
        <x:f>IF(B278="","",IFERROR(INDEX(Planos_Contratos!$I$4:$I$203,MATCH(B278,Planos_Contratos!$A$4:$A$203,0)),""))</x:f>
      </x:c>
      <x:c r="K278" s="70"/>
      <x:c r="L278" s="96" t="str">
        <x:f>IF(B278="","",IFERROR(INDEX(Planos_Contratos!$M$4:$M$203,MATCH(B278,Planos_Contratos!$A$4:$A$203,0)),""))</x:f>
      </x:c>
      <x:c r="M278" s="64"/>
    </x:row>
    <x:row r="279" ht="20" customHeight="1">
      <x:c r="A279" s="68" t="str">
        <x:f t="shared" si="8"/>
      </x:c>
      <x:c r="B279" s="64"/>
      <x:c r="C279" s="68" t="str">
        <x:f>IF(B279="","",IFERROR(INDEX(Planos_Contratos!$B$4:$B$203,MATCH(B279,Planos_Contratos!$A$4:$A$203,0)),""))</x:f>
      </x:c>
      <x:c r="D279" s="68" t="str">
        <x:f>IF(B279="","",IFERROR(INDEX(Planos_Contratos!$C$4:$C$203,MATCH(B279,Planos_Contratos!$A$4:$A$203,0)),""))</x:f>
      </x:c>
      <x:c r="E279" s="72"/>
      <x:c r="F279" s="72"/>
      <x:c r="G279" s="92" t="str">
        <x:f>IF(B279="","",IFERROR(INDEX(Planos_Contratos!$L$4:$L$203,MATCH(B279,Planos_Contratos!$A$4:$A$203,0))/MAX(1,INDEX(Planos_Contratos!$M$4:$M$203,MATCH(B279,Planos_Contratos!$A$4:$A$203,0))),""))</x:f>
      </x:c>
      <x:c r="H279" s="112"/>
      <x:c r="I279" s="92" t="str">
        <x:f t="shared" si="9"/>
      </x:c>
      <x:c r="J279" s="68" t="str">
        <x:f>IF(B279="","",IFERROR(INDEX(Planos_Contratos!$I$4:$I$203,MATCH(B279,Planos_Contratos!$A$4:$A$203,0)),""))</x:f>
      </x:c>
      <x:c r="K279" s="70"/>
      <x:c r="L279" s="96" t="str">
        <x:f>IF(B279="","",IFERROR(INDEX(Planos_Contratos!$M$4:$M$203,MATCH(B279,Planos_Contratos!$A$4:$A$203,0)),""))</x:f>
      </x:c>
      <x:c r="M279" s="64"/>
    </x:row>
    <x:row r="280" ht="20" customHeight="1">
      <x:c r="A280" s="68" t="str">
        <x:f t="shared" si="8"/>
      </x:c>
      <x:c r="B280" s="64"/>
      <x:c r="C280" s="68" t="str">
        <x:f>IF(B280="","",IFERROR(INDEX(Planos_Contratos!$B$4:$B$203,MATCH(B280,Planos_Contratos!$A$4:$A$203,0)),""))</x:f>
      </x:c>
      <x:c r="D280" s="68" t="str">
        <x:f>IF(B280="","",IFERROR(INDEX(Planos_Contratos!$C$4:$C$203,MATCH(B280,Planos_Contratos!$A$4:$A$203,0)),""))</x:f>
      </x:c>
      <x:c r="E280" s="72"/>
      <x:c r="F280" s="72"/>
      <x:c r="G280" s="92" t="str">
        <x:f>IF(B280="","",IFERROR(INDEX(Planos_Contratos!$L$4:$L$203,MATCH(B280,Planos_Contratos!$A$4:$A$203,0))/MAX(1,INDEX(Planos_Contratos!$M$4:$M$203,MATCH(B280,Planos_Contratos!$A$4:$A$203,0))),""))</x:f>
      </x:c>
      <x:c r="H280" s="112"/>
      <x:c r="I280" s="92" t="str">
        <x:f t="shared" si="9"/>
      </x:c>
      <x:c r="J280" s="68" t="str">
        <x:f>IF(B280="","",IFERROR(INDEX(Planos_Contratos!$I$4:$I$203,MATCH(B280,Planos_Contratos!$A$4:$A$203,0)),""))</x:f>
      </x:c>
      <x:c r="K280" s="70"/>
      <x:c r="L280" s="96" t="str">
        <x:f>IF(B280="","",IFERROR(INDEX(Planos_Contratos!$M$4:$M$203,MATCH(B280,Planos_Contratos!$A$4:$A$203,0)),""))</x:f>
      </x:c>
      <x:c r="M280" s="64"/>
    </x:row>
    <x:row r="281" ht="20" customHeight="1">
      <x:c r="A281" s="68" t="str">
        <x:f t="shared" si="8"/>
      </x:c>
      <x:c r="B281" s="64"/>
      <x:c r="C281" s="68" t="str">
        <x:f>IF(B281="","",IFERROR(INDEX(Planos_Contratos!$B$4:$B$203,MATCH(B281,Planos_Contratos!$A$4:$A$203,0)),""))</x:f>
      </x:c>
      <x:c r="D281" s="68" t="str">
        <x:f>IF(B281="","",IFERROR(INDEX(Planos_Contratos!$C$4:$C$203,MATCH(B281,Planos_Contratos!$A$4:$A$203,0)),""))</x:f>
      </x:c>
      <x:c r="E281" s="72"/>
      <x:c r="F281" s="72"/>
      <x:c r="G281" s="92" t="str">
        <x:f>IF(B281="","",IFERROR(INDEX(Planos_Contratos!$L$4:$L$203,MATCH(B281,Planos_Contratos!$A$4:$A$203,0))/MAX(1,INDEX(Planos_Contratos!$M$4:$M$203,MATCH(B281,Planos_Contratos!$A$4:$A$203,0))),""))</x:f>
      </x:c>
      <x:c r="H281" s="112"/>
      <x:c r="I281" s="92" t="str">
        <x:f t="shared" si="9"/>
      </x:c>
      <x:c r="J281" s="68" t="str">
        <x:f>IF(B281="","",IFERROR(INDEX(Planos_Contratos!$I$4:$I$203,MATCH(B281,Planos_Contratos!$A$4:$A$203,0)),""))</x:f>
      </x:c>
      <x:c r="K281" s="70"/>
      <x:c r="L281" s="96" t="str">
        <x:f>IF(B281="","",IFERROR(INDEX(Planos_Contratos!$M$4:$M$203,MATCH(B281,Planos_Contratos!$A$4:$A$203,0)),""))</x:f>
      </x:c>
      <x:c r="M281" s="64"/>
    </x:row>
    <x:row r="282" ht="20" customHeight="1">
      <x:c r="A282" s="68" t="str">
        <x:f t="shared" si="8"/>
      </x:c>
      <x:c r="B282" s="64"/>
      <x:c r="C282" s="68" t="str">
        <x:f>IF(B282="","",IFERROR(INDEX(Planos_Contratos!$B$4:$B$203,MATCH(B282,Planos_Contratos!$A$4:$A$203,0)),""))</x:f>
      </x:c>
      <x:c r="D282" s="68" t="str">
        <x:f>IF(B282="","",IFERROR(INDEX(Planos_Contratos!$C$4:$C$203,MATCH(B282,Planos_Contratos!$A$4:$A$203,0)),""))</x:f>
      </x:c>
      <x:c r="E282" s="72"/>
      <x:c r="F282" s="72"/>
      <x:c r="G282" s="92" t="str">
        <x:f>IF(B282="","",IFERROR(INDEX(Planos_Contratos!$L$4:$L$203,MATCH(B282,Planos_Contratos!$A$4:$A$203,0))/MAX(1,INDEX(Planos_Contratos!$M$4:$M$203,MATCH(B282,Planos_Contratos!$A$4:$A$203,0))),""))</x:f>
      </x:c>
      <x:c r="H282" s="112"/>
      <x:c r="I282" s="92" t="str">
        <x:f t="shared" si="9"/>
      </x:c>
      <x:c r="J282" s="68" t="str">
        <x:f>IF(B282="","",IFERROR(INDEX(Planos_Contratos!$I$4:$I$203,MATCH(B282,Planos_Contratos!$A$4:$A$203,0)),""))</x:f>
      </x:c>
      <x:c r="K282" s="70"/>
      <x:c r="L282" s="96" t="str">
        <x:f>IF(B282="","",IFERROR(INDEX(Planos_Contratos!$M$4:$M$203,MATCH(B282,Planos_Contratos!$A$4:$A$203,0)),""))</x:f>
      </x:c>
      <x:c r="M282" s="64"/>
    </x:row>
    <x:row r="283" ht="20" customHeight="1">
      <x:c r="A283" s="68" t="str">
        <x:f t="shared" si="8"/>
      </x:c>
      <x:c r="B283" s="64"/>
      <x:c r="C283" s="68" t="str">
        <x:f>IF(B283="","",IFERROR(INDEX(Planos_Contratos!$B$4:$B$203,MATCH(B283,Planos_Contratos!$A$4:$A$203,0)),""))</x:f>
      </x:c>
      <x:c r="D283" s="68" t="str">
        <x:f>IF(B283="","",IFERROR(INDEX(Planos_Contratos!$C$4:$C$203,MATCH(B283,Planos_Contratos!$A$4:$A$203,0)),""))</x:f>
      </x:c>
      <x:c r="E283" s="72"/>
      <x:c r="F283" s="72"/>
      <x:c r="G283" s="92" t="str">
        <x:f>IF(B283="","",IFERROR(INDEX(Planos_Contratos!$L$4:$L$203,MATCH(B283,Planos_Contratos!$A$4:$A$203,0))/MAX(1,INDEX(Planos_Contratos!$M$4:$M$203,MATCH(B283,Planos_Contratos!$A$4:$A$203,0))),""))</x:f>
      </x:c>
      <x:c r="H283" s="112"/>
      <x:c r="I283" s="92" t="str">
        <x:f t="shared" si="9"/>
      </x:c>
      <x:c r="J283" s="68" t="str">
        <x:f>IF(B283="","",IFERROR(INDEX(Planos_Contratos!$I$4:$I$203,MATCH(B283,Planos_Contratos!$A$4:$A$203,0)),""))</x:f>
      </x:c>
      <x:c r="K283" s="70"/>
      <x:c r="L283" s="96" t="str">
        <x:f>IF(B283="","",IFERROR(INDEX(Planos_Contratos!$M$4:$M$203,MATCH(B283,Planos_Contratos!$A$4:$A$203,0)),""))</x:f>
      </x:c>
      <x:c r="M283" s="64"/>
    </x:row>
    <x:row r="284" ht="20" customHeight="1">
      <x:c r="A284" s="68" t="str">
        <x:f t="shared" si="8"/>
      </x:c>
      <x:c r="B284" s="64"/>
      <x:c r="C284" s="68" t="str">
        <x:f>IF(B284="","",IFERROR(INDEX(Planos_Contratos!$B$4:$B$203,MATCH(B284,Planos_Contratos!$A$4:$A$203,0)),""))</x:f>
      </x:c>
      <x:c r="D284" s="68" t="str">
        <x:f>IF(B284="","",IFERROR(INDEX(Planos_Contratos!$C$4:$C$203,MATCH(B284,Planos_Contratos!$A$4:$A$203,0)),""))</x:f>
      </x:c>
      <x:c r="E284" s="72"/>
      <x:c r="F284" s="72"/>
      <x:c r="G284" s="92" t="str">
        <x:f>IF(B284="","",IFERROR(INDEX(Planos_Contratos!$L$4:$L$203,MATCH(B284,Planos_Contratos!$A$4:$A$203,0))/MAX(1,INDEX(Planos_Contratos!$M$4:$M$203,MATCH(B284,Planos_Contratos!$A$4:$A$203,0))),""))</x:f>
      </x:c>
      <x:c r="H284" s="112"/>
      <x:c r="I284" s="92" t="str">
        <x:f t="shared" si="9"/>
      </x:c>
      <x:c r="J284" s="68" t="str">
        <x:f>IF(B284="","",IFERROR(INDEX(Planos_Contratos!$I$4:$I$203,MATCH(B284,Planos_Contratos!$A$4:$A$203,0)),""))</x:f>
      </x:c>
      <x:c r="K284" s="70"/>
      <x:c r="L284" s="96" t="str">
        <x:f>IF(B284="","",IFERROR(INDEX(Planos_Contratos!$M$4:$M$203,MATCH(B284,Planos_Contratos!$A$4:$A$203,0)),""))</x:f>
      </x:c>
      <x:c r="M284" s="64"/>
    </x:row>
    <x:row r="285" ht="20" customHeight="1">
      <x:c r="A285" s="68" t="str">
        <x:f t="shared" si="8"/>
      </x:c>
      <x:c r="B285" s="64"/>
      <x:c r="C285" s="68" t="str">
        <x:f>IF(B285="","",IFERROR(INDEX(Planos_Contratos!$B$4:$B$203,MATCH(B285,Planos_Contratos!$A$4:$A$203,0)),""))</x:f>
      </x:c>
      <x:c r="D285" s="68" t="str">
        <x:f>IF(B285="","",IFERROR(INDEX(Planos_Contratos!$C$4:$C$203,MATCH(B285,Planos_Contratos!$A$4:$A$203,0)),""))</x:f>
      </x:c>
      <x:c r="E285" s="72"/>
      <x:c r="F285" s="72"/>
      <x:c r="G285" s="92" t="str">
        <x:f>IF(B285="","",IFERROR(INDEX(Planos_Contratos!$L$4:$L$203,MATCH(B285,Planos_Contratos!$A$4:$A$203,0))/MAX(1,INDEX(Planos_Contratos!$M$4:$M$203,MATCH(B285,Planos_Contratos!$A$4:$A$203,0))),""))</x:f>
      </x:c>
      <x:c r="H285" s="112"/>
      <x:c r="I285" s="92" t="str">
        <x:f t="shared" si="9"/>
      </x:c>
      <x:c r="J285" s="68" t="str">
        <x:f>IF(B285="","",IFERROR(INDEX(Planos_Contratos!$I$4:$I$203,MATCH(B285,Planos_Contratos!$A$4:$A$203,0)),""))</x:f>
      </x:c>
      <x:c r="K285" s="70"/>
      <x:c r="L285" s="96" t="str">
        <x:f>IF(B285="","",IFERROR(INDEX(Planos_Contratos!$M$4:$M$203,MATCH(B285,Planos_Contratos!$A$4:$A$203,0)),""))</x:f>
      </x:c>
      <x:c r="M285" s="64"/>
    </x:row>
    <x:row r="286" ht="20" customHeight="1">
      <x:c r="A286" s="68" t="str">
        <x:f t="shared" si="8"/>
      </x:c>
      <x:c r="B286" s="64"/>
      <x:c r="C286" s="68" t="str">
        <x:f>IF(B286="","",IFERROR(INDEX(Planos_Contratos!$B$4:$B$203,MATCH(B286,Planos_Contratos!$A$4:$A$203,0)),""))</x:f>
      </x:c>
      <x:c r="D286" s="68" t="str">
        <x:f>IF(B286="","",IFERROR(INDEX(Planos_Contratos!$C$4:$C$203,MATCH(B286,Planos_Contratos!$A$4:$A$203,0)),""))</x:f>
      </x:c>
      <x:c r="E286" s="72"/>
      <x:c r="F286" s="72"/>
      <x:c r="G286" s="92" t="str">
        <x:f>IF(B286="","",IFERROR(INDEX(Planos_Contratos!$L$4:$L$203,MATCH(B286,Planos_Contratos!$A$4:$A$203,0))/MAX(1,INDEX(Planos_Contratos!$M$4:$M$203,MATCH(B286,Planos_Contratos!$A$4:$A$203,0))),""))</x:f>
      </x:c>
      <x:c r="H286" s="112"/>
      <x:c r="I286" s="92" t="str">
        <x:f t="shared" si="9"/>
      </x:c>
      <x:c r="J286" s="68" t="str">
        <x:f>IF(B286="","",IFERROR(INDEX(Planos_Contratos!$I$4:$I$203,MATCH(B286,Planos_Contratos!$A$4:$A$203,0)),""))</x:f>
      </x:c>
      <x:c r="K286" s="70"/>
      <x:c r="L286" s="96" t="str">
        <x:f>IF(B286="","",IFERROR(INDEX(Planos_Contratos!$M$4:$M$203,MATCH(B286,Planos_Contratos!$A$4:$A$203,0)),""))</x:f>
      </x:c>
      <x:c r="M286" s="64"/>
    </x:row>
    <x:row r="287" ht="20" customHeight="1">
      <x:c r="A287" s="68" t="str">
        <x:f t="shared" si="8"/>
      </x:c>
      <x:c r="B287" s="64"/>
      <x:c r="C287" s="68" t="str">
        <x:f>IF(B287="","",IFERROR(INDEX(Planos_Contratos!$B$4:$B$203,MATCH(B287,Planos_Contratos!$A$4:$A$203,0)),""))</x:f>
      </x:c>
      <x:c r="D287" s="68" t="str">
        <x:f>IF(B287="","",IFERROR(INDEX(Planos_Contratos!$C$4:$C$203,MATCH(B287,Planos_Contratos!$A$4:$A$203,0)),""))</x:f>
      </x:c>
      <x:c r="E287" s="72"/>
      <x:c r="F287" s="72"/>
      <x:c r="G287" s="92" t="str">
        <x:f>IF(B287="","",IFERROR(INDEX(Planos_Contratos!$L$4:$L$203,MATCH(B287,Planos_Contratos!$A$4:$A$203,0))/MAX(1,INDEX(Planos_Contratos!$M$4:$M$203,MATCH(B287,Planos_Contratos!$A$4:$A$203,0))),""))</x:f>
      </x:c>
      <x:c r="H287" s="112"/>
      <x:c r="I287" s="92" t="str">
        <x:f t="shared" si="9"/>
      </x:c>
      <x:c r="J287" s="68" t="str">
        <x:f>IF(B287="","",IFERROR(INDEX(Planos_Contratos!$I$4:$I$203,MATCH(B287,Planos_Contratos!$A$4:$A$203,0)),""))</x:f>
      </x:c>
      <x:c r="K287" s="70"/>
      <x:c r="L287" s="96" t="str">
        <x:f>IF(B287="","",IFERROR(INDEX(Planos_Contratos!$M$4:$M$203,MATCH(B287,Planos_Contratos!$A$4:$A$203,0)),""))</x:f>
      </x:c>
      <x:c r="M287" s="64"/>
    </x:row>
    <x:row r="288" ht="20" customHeight="1">
      <x:c r="A288" s="68" t="str">
        <x:f t="shared" si="8"/>
      </x:c>
      <x:c r="B288" s="64"/>
      <x:c r="C288" s="68" t="str">
        <x:f>IF(B288="","",IFERROR(INDEX(Planos_Contratos!$B$4:$B$203,MATCH(B288,Planos_Contratos!$A$4:$A$203,0)),""))</x:f>
      </x:c>
      <x:c r="D288" s="68" t="str">
        <x:f>IF(B288="","",IFERROR(INDEX(Planos_Contratos!$C$4:$C$203,MATCH(B288,Planos_Contratos!$A$4:$A$203,0)),""))</x:f>
      </x:c>
      <x:c r="E288" s="72"/>
      <x:c r="F288" s="72"/>
      <x:c r="G288" s="92" t="str">
        <x:f>IF(B288="","",IFERROR(INDEX(Planos_Contratos!$L$4:$L$203,MATCH(B288,Planos_Contratos!$A$4:$A$203,0))/MAX(1,INDEX(Planos_Contratos!$M$4:$M$203,MATCH(B288,Planos_Contratos!$A$4:$A$203,0))),""))</x:f>
      </x:c>
      <x:c r="H288" s="112"/>
      <x:c r="I288" s="92" t="str">
        <x:f t="shared" si="9"/>
      </x:c>
      <x:c r="J288" s="68" t="str">
        <x:f>IF(B288="","",IFERROR(INDEX(Planos_Contratos!$I$4:$I$203,MATCH(B288,Planos_Contratos!$A$4:$A$203,0)),""))</x:f>
      </x:c>
      <x:c r="K288" s="70"/>
      <x:c r="L288" s="96" t="str">
        <x:f>IF(B288="","",IFERROR(INDEX(Planos_Contratos!$M$4:$M$203,MATCH(B288,Planos_Contratos!$A$4:$A$203,0)),""))</x:f>
      </x:c>
      <x:c r="M288" s="64"/>
    </x:row>
    <x:row r="289" ht="20" customHeight="1">
      <x:c r="A289" s="68" t="str">
        <x:f t="shared" si="8"/>
      </x:c>
      <x:c r="B289" s="64"/>
      <x:c r="C289" s="68" t="str">
        <x:f>IF(B289="","",IFERROR(INDEX(Planos_Contratos!$B$4:$B$203,MATCH(B289,Planos_Contratos!$A$4:$A$203,0)),""))</x:f>
      </x:c>
      <x:c r="D289" s="68" t="str">
        <x:f>IF(B289="","",IFERROR(INDEX(Planos_Contratos!$C$4:$C$203,MATCH(B289,Planos_Contratos!$A$4:$A$203,0)),""))</x:f>
      </x:c>
      <x:c r="E289" s="72"/>
      <x:c r="F289" s="72"/>
      <x:c r="G289" s="92" t="str">
        <x:f>IF(B289="","",IFERROR(INDEX(Planos_Contratos!$L$4:$L$203,MATCH(B289,Planos_Contratos!$A$4:$A$203,0))/MAX(1,INDEX(Planos_Contratos!$M$4:$M$203,MATCH(B289,Planos_Contratos!$A$4:$A$203,0))),""))</x:f>
      </x:c>
      <x:c r="H289" s="112"/>
      <x:c r="I289" s="92" t="str">
        <x:f t="shared" si="9"/>
      </x:c>
      <x:c r="J289" s="68" t="str">
        <x:f>IF(B289="","",IFERROR(INDEX(Planos_Contratos!$I$4:$I$203,MATCH(B289,Planos_Contratos!$A$4:$A$203,0)),""))</x:f>
      </x:c>
      <x:c r="K289" s="70"/>
      <x:c r="L289" s="96" t="str">
        <x:f>IF(B289="","",IFERROR(INDEX(Planos_Contratos!$M$4:$M$203,MATCH(B289,Planos_Contratos!$A$4:$A$203,0)),""))</x:f>
      </x:c>
      <x:c r="M289" s="64"/>
    </x:row>
    <x:row r="290" ht="20" customHeight="1">
      <x:c r="A290" s="68" t="str">
        <x:f t="shared" si="8"/>
      </x:c>
      <x:c r="B290" s="64"/>
      <x:c r="C290" s="68" t="str">
        <x:f>IF(B290="","",IFERROR(INDEX(Planos_Contratos!$B$4:$B$203,MATCH(B290,Planos_Contratos!$A$4:$A$203,0)),""))</x:f>
      </x:c>
      <x:c r="D290" s="68" t="str">
        <x:f>IF(B290="","",IFERROR(INDEX(Planos_Contratos!$C$4:$C$203,MATCH(B290,Planos_Contratos!$A$4:$A$203,0)),""))</x:f>
      </x:c>
      <x:c r="E290" s="72"/>
      <x:c r="F290" s="72"/>
      <x:c r="G290" s="92" t="str">
        <x:f>IF(B290="","",IFERROR(INDEX(Planos_Contratos!$L$4:$L$203,MATCH(B290,Planos_Contratos!$A$4:$A$203,0))/MAX(1,INDEX(Planos_Contratos!$M$4:$M$203,MATCH(B290,Planos_Contratos!$A$4:$A$203,0))),""))</x:f>
      </x:c>
      <x:c r="H290" s="112"/>
      <x:c r="I290" s="92" t="str">
        <x:f t="shared" si="9"/>
      </x:c>
      <x:c r="J290" s="68" t="str">
        <x:f>IF(B290="","",IFERROR(INDEX(Planos_Contratos!$I$4:$I$203,MATCH(B290,Planos_Contratos!$A$4:$A$203,0)),""))</x:f>
      </x:c>
      <x:c r="K290" s="70"/>
      <x:c r="L290" s="96" t="str">
        <x:f>IF(B290="","",IFERROR(INDEX(Planos_Contratos!$M$4:$M$203,MATCH(B290,Planos_Contratos!$A$4:$A$203,0)),""))</x:f>
      </x:c>
      <x:c r="M290" s="64"/>
    </x:row>
    <x:row r="291" ht="20" customHeight="1">
      <x:c r="A291" s="68" t="str">
        <x:f t="shared" si="8"/>
      </x:c>
      <x:c r="B291" s="64"/>
      <x:c r="C291" s="68" t="str">
        <x:f>IF(B291="","",IFERROR(INDEX(Planos_Contratos!$B$4:$B$203,MATCH(B291,Planos_Contratos!$A$4:$A$203,0)),""))</x:f>
      </x:c>
      <x:c r="D291" s="68" t="str">
        <x:f>IF(B291="","",IFERROR(INDEX(Planos_Contratos!$C$4:$C$203,MATCH(B291,Planos_Contratos!$A$4:$A$203,0)),""))</x:f>
      </x:c>
      <x:c r="E291" s="72"/>
      <x:c r="F291" s="72"/>
      <x:c r="G291" s="92" t="str">
        <x:f>IF(B291="","",IFERROR(INDEX(Planos_Contratos!$L$4:$L$203,MATCH(B291,Planos_Contratos!$A$4:$A$203,0))/MAX(1,INDEX(Planos_Contratos!$M$4:$M$203,MATCH(B291,Planos_Contratos!$A$4:$A$203,0))),""))</x:f>
      </x:c>
      <x:c r="H291" s="112"/>
      <x:c r="I291" s="92" t="str">
        <x:f t="shared" si="9"/>
      </x:c>
      <x:c r="J291" s="68" t="str">
        <x:f>IF(B291="","",IFERROR(INDEX(Planos_Contratos!$I$4:$I$203,MATCH(B291,Planos_Contratos!$A$4:$A$203,0)),""))</x:f>
      </x:c>
      <x:c r="K291" s="70"/>
      <x:c r="L291" s="96" t="str">
        <x:f>IF(B291="","",IFERROR(INDEX(Planos_Contratos!$M$4:$M$203,MATCH(B291,Planos_Contratos!$A$4:$A$203,0)),""))</x:f>
      </x:c>
      <x:c r="M291" s="64"/>
    </x:row>
    <x:row r="292" ht="20" customHeight="1">
      <x:c r="A292" s="68" t="str">
        <x:f t="shared" si="8"/>
      </x:c>
      <x:c r="B292" s="64"/>
      <x:c r="C292" s="68" t="str">
        <x:f>IF(B292="","",IFERROR(INDEX(Planos_Contratos!$B$4:$B$203,MATCH(B292,Planos_Contratos!$A$4:$A$203,0)),""))</x:f>
      </x:c>
      <x:c r="D292" s="68" t="str">
        <x:f>IF(B292="","",IFERROR(INDEX(Planos_Contratos!$C$4:$C$203,MATCH(B292,Planos_Contratos!$A$4:$A$203,0)),""))</x:f>
      </x:c>
      <x:c r="E292" s="72"/>
      <x:c r="F292" s="72"/>
      <x:c r="G292" s="92" t="str">
        <x:f>IF(B292="","",IFERROR(INDEX(Planos_Contratos!$L$4:$L$203,MATCH(B292,Planos_Contratos!$A$4:$A$203,0))/MAX(1,INDEX(Planos_Contratos!$M$4:$M$203,MATCH(B292,Planos_Contratos!$A$4:$A$203,0))),""))</x:f>
      </x:c>
      <x:c r="H292" s="112"/>
      <x:c r="I292" s="92" t="str">
        <x:f t="shared" si="9"/>
      </x:c>
      <x:c r="J292" s="68" t="str">
        <x:f>IF(B292="","",IFERROR(INDEX(Planos_Contratos!$I$4:$I$203,MATCH(B292,Planos_Contratos!$A$4:$A$203,0)),""))</x:f>
      </x:c>
      <x:c r="K292" s="70"/>
      <x:c r="L292" s="96" t="str">
        <x:f>IF(B292="","",IFERROR(INDEX(Planos_Contratos!$M$4:$M$203,MATCH(B292,Planos_Contratos!$A$4:$A$203,0)),""))</x:f>
      </x:c>
      <x:c r="M292" s="64"/>
    </x:row>
    <x:row r="293" ht="20" customHeight="1">
      <x:c r="A293" s="68" t="str">
        <x:f t="shared" si="8"/>
      </x:c>
      <x:c r="B293" s="64"/>
      <x:c r="C293" s="68" t="str">
        <x:f>IF(B293="","",IFERROR(INDEX(Planos_Contratos!$B$4:$B$203,MATCH(B293,Planos_Contratos!$A$4:$A$203,0)),""))</x:f>
      </x:c>
      <x:c r="D293" s="68" t="str">
        <x:f>IF(B293="","",IFERROR(INDEX(Planos_Contratos!$C$4:$C$203,MATCH(B293,Planos_Contratos!$A$4:$A$203,0)),""))</x:f>
      </x:c>
      <x:c r="E293" s="72"/>
      <x:c r="F293" s="72"/>
      <x:c r="G293" s="92" t="str">
        <x:f>IF(B293="","",IFERROR(INDEX(Planos_Contratos!$L$4:$L$203,MATCH(B293,Planos_Contratos!$A$4:$A$203,0))/MAX(1,INDEX(Planos_Contratos!$M$4:$M$203,MATCH(B293,Planos_Contratos!$A$4:$A$203,0))),""))</x:f>
      </x:c>
      <x:c r="H293" s="112"/>
      <x:c r="I293" s="92" t="str">
        <x:f t="shared" si="9"/>
      </x:c>
      <x:c r="J293" s="68" t="str">
        <x:f>IF(B293="","",IFERROR(INDEX(Planos_Contratos!$I$4:$I$203,MATCH(B293,Planos_Contratos!$A$4:$A$203,0)),""))</x:f>
      </x:c>
      <x:c r="K293" s="70"/>
      <x:c r="L293" s="96" t="str">
        <x:f>IF(B293="","",IFERROR(INDEX(Planos_Contratos!$M$4:$M$203,MATCH(B293,Planos_Contratos!$A$4:$A$203,0)),""))</x:f>
      </x:c>
      <x:c r="M293" s="64"/>
    </x:row>
    <x:row r="294" ht="20" customHeight="1">
      <x:c r="A294" s="68" t="str">
        <x:f t="shared" si="8"/>
      </x:c>
      <x:c r="B294" s="64"/>
      <x:c r="C294" s="68" t="str">
        <x:f>IF(B294="","",IFERROR(INDEX(Planos_Contratos!$B$4:$B$203,MATCH(B294,Planos_Contratos!$A$4:$A$203,0)),""))</x:f>
      </x:c>
      <x:c r="D294" s="68" t="str">
        <x:f>IF(B294="","",IFERROR(INDEX(Planos_Contratos!$C$4:$C$203,MATCH(B294,Planos_Contratos!$A$4:$A$203,0)),""))</x:f>
      </x:c>
      <x:c r="E294" s="72"/>
      <x:c r="F294" s="72"/>
      <x:c r="G294" s="92" t="str">
        <x:f>IF(B294="","",IFERROR(INDEX(Planos_Contratos!$L$4:$L$203,MATCH(B294,Planos_Contratos!$A$4:$A$203,0))/MAX(1,INDEX(Planos_Contratos!$M$4:$M$203,MATCH(B294,Planos_Contratos!$A$4:$A$203,0))),""))</x:f>
      </x:c>
      <x:c r="H294" s="112"/>
      <x:c r="I294" s="92" t="str">
        <x:f t="shared" si="9"/>
      </x:c>
      <x:c r="J294" s="68" t="str">
        <x:f>IF(B294="","",IFERROR(INDEX(Planos_Contratos!$I$4:$I$203,MATCH(B294,Planos_Contratos!$A$4:$A$203,0)),""))</x:f>
      </x:c>
      <x:c r="K294" s="70"/>
      <x:c r="L294" s="96" t="str">
        <x:f>IF(B294="","",IFERROR(INDEX(Planos_Contratos!$M$4:$M$203,MATCH(B294,Planos_Contratos!$A$4:$A$203,0)),""))</x:f>
      </x:c>
      <x:c r="M294" s="64"/>
    </x:row>
    <x:row r="295" ht="20" customHeight="1">
      <x:c r="A295" s="68" t="str">
        <x:f t="shared" si="8"/>
      </x:c>
      <x:c r="B295" s="64"/>
      <x:c r="C295" s="68" t="str">
        <x:f>IF(B295="","",IFERROR(INDEX(Planos_Contratos!$B$4:$B$203,MATCH(B295,Planos_Contratos!$A$4:$A$203,0)),""))</x:f>
      </x:c>
      <x:c r="D295" s="68" t="str">
        <x:f>IF(B295="","",IFERROR(INDEX(Planos_Contratos!$C$4:$C$203,MATCH(B295,Planos_Contratos!$A$4:$A$203,0)),""))</x:f>
      </x:c>
      <x:c r="E295" s="72"/>
      <x:c r="F295" s="72"/>
      <x:c r="G295" s="92" t="str">
        <x:f>IF(B295="","",IFERROR(INDEX(Planos_Contratos!$L$4:$L$203,MATCH(B295,Planos_Contratos!$A$4:$A$203,0))/MAX(1,INDEX(Planos_Contratos!$M$4:$M$203,MATCH(B295,Planos_Contratos!$A$4:$A$203,0))),""))</x:f>
      </x:c>
      <x:c r="H295" s="112"/>
      <x:c r="I295" s="92" t="str">
        <x:f t="shared" si="9"/>
      </x:c>
      <x:c r="J295" s="68" t="str">
        <x:f>IF(B295="","",IFERROR(INDEX(Planos_Contratos!$I$4:$I$203,MATCH(B295,Planos_Contratos!$A$4:$A$203,0)),""))</x:f>
      </x:c>
      <x:c r="K295" s="70"/>
      <x:c r="L295" s="96" t="str">
        <x:f>IF(B295="","",IFERROR(INDEX(Planos_Contratos!$M$4:$M$203,MATCH(B295,Planos_Contratos!$A$4:$A$203,0)),""))</x:f>
      </x:c>
      <x:c r="M295" s="64"/>
    </x:row>
    <x:row r="296" ht="20" customHeight="1">
      <x:c r="A296" s="68" t="str">
        <x:f t="shared" si="8"/>
      </x:c>
      <x:c r="B296" s="64"/>
      <x:c r="C296" s="68" t="str">
        <x:f>IF(B296="","",IFERROR(INDEX(Planos_Contratos!$B$4:$B$203,MATCH(B296,Planos_Contratos!$A$4:$A$203,0)),""))</x:f>
      </x:c>
      <x:c r="D296" s="68" t="str">
        <x:f>IF(B296="","",IFERROR(INDEX(Planos_Contratos!$C$4:$C$203,MATCH(B296,Planos_Contratos!$A$4:$A$203,0)),""))</x:f>
      </x:c>
      <x:c r="E296" s="72"/>
      <x:c r="F296" s="72"/>
      <x:c r="G296" s="92" t="str">
        <x:f>IF(B296="","",IFERROR(INDEX(Planos_Contratos!$L$4:$L$203,MATCH(B296,Planos_Contratos!$A$4:$A$203,0))/MAX(1,INDEX(Planos_Contratos!$M$4:$M$203,MATCH(B296,Planos_Contratos!$A$4:$A$203,0))),""))</x:f>
      </x:c>
      <x:c r="H296" s="112"/>
      <x:c r="I296" s="92" t="str">
        <x:f t="shared" si="9"/>
      </x:c>
      <x:c r="J296" s="68" t="str">
        <x:f>IF(B296="","",IFERROR(INDEX(Planos_Contratos!$I$4:$I$203,MATCH(B296,Planos_Contratos!$A$4:$A$203,0)),""))</x:f>
      </x:c>
      <x:c r="K296" s="70"/>
      <x:c r="L296" s="96" t="str">
        <x:f>IF(B296="","",IFERROR(INDEX(Planos_Contratos!$M$4:$M$203,MATCH(B296,Planos_Contratos!$A$4:$A$203,0)),""))</x:f>
      </x:c>
      <x:c r="M296" s="64"/>
    </x:row>
    <x:row r="297" ht="20" customHeight="1">
      <x:c r="A297" s="68" t="str">
        <x:f t="shared" si="8"/>
      </x:c>
      <x:c r="B297" s="64"/>
      <x:c r="C297" s="68" t="str">
        <x:f>IF(B297="","",IFERROR(INDEX(Planos_Contratos!$B$4:$B$203,MATCH(B297,Planos_Contratos!$A$4:$A$203,0)),""))</x:f>
      </x:c>
      <x:c r="D297" s="68" t="str">
        <x:f>IF(B297="","",IFERROR(INDEX(Planos_Contratos!$C$4:$C$203,MATCH(B297,Planos_Contratos!$A$4:$A$203,0)),""))</x:f>
      </x:c>
      <x:c r="E297" s="72"/>
      <x:c r="F297" s="72"/>
      <x:c r="G297" s="92" t="str">
        <x:f>IF(B297="","",IFERROR(INDEX(Planos_Contratos!$L$4:$L$203,MATCH(B297,Planos_Contratos!$A$4:$A$203,0))/MAX(1,INDEX(Planos_Contratos!$M$4:$M$203,MATCH(B297,Planos_Contratos!$A$4:$A$203,0))),""))</x:f>
      </x:c>
      <x:c r="H297" s="112"/>
      <x:c r="I297" s="92" t="str">
        <x:f t="shared" si="9"/>
      </x:c>
      <x:c r="J297" s="68" t="str">
        <x:f>IF(B297="","",IFERROR(INDEX(Planos_Contratos!$I$4:$I$203,MATCH(B297,Planos_Contratos!$A$4:$A$203,0)),""))</x:f>
      </x:c>
      <x:c r="K297" s="70"/>
      <x:c r="L297" s="96" t="str">
        <x:f>IF(B297="","",IFERROR(INDEX(Planos_Contratos!$M$4:$M$203,MATCH(B297,Planos_Contratos!$A$4:$A$203,0)),""))</x:f>
      </x:c>
      <x:c r="M297" s="64"/>
    </x:row>
    <x:row r="298" ht="20" customHeight="1">
      <x:c r="A298" s="68" t="str">
        <x:f t="shared" si="8"/>
      </x:c>
      <x:c r="B298" s="64"/>
      <x:c r="C298" s="68" t="str">
        <x:f>IF(B298="","",IFERROR(INDEX(Planos_Contratos!$B$4:$B$203,MATCH(B298,Planos_Contratos!$A$4:$A$203,0)),""))</x:f>
      </x:c>
      <x:c r="D298" s="68" t="str">
        <x:f>IF(B298="","",IFERROR(INDEX(Planos_Contratos!$C$4:$C$203,MATCH(B298,Planos_Contratos!$A$4:$A$203,0)),""))</x:f>
      </x:c>
      <x:c r="E298" s="72"/>
      <x:c r="F298" s="72"/>
      <x:c r="G298" s="92" t="str">
        <x:f>IF(B298="","",IFERROR(INDEX(Planos_Contratos!$L$4:$L$203,MATCH(B298,Planos_Contratos!$A$4:$A$203,0))/MAX(1,INDEX(Planos_Contratos!$M$4:$M$203,MATCH(B298,Planos_Contratos!$A$4:$A$203,0))),""))</x:f>
      </x:c>
      <x:c r="H298" s="112"/>
      <x:c r="I298" s="92" t="str">
        <x:f t="shared" si="9"/>
      </x:c>
      <x:c r="J298" s="68" t="str">
        <x:f>IF(B298="","",IFERROR(INDEX(Planos_Contratos!$I$4:$I$203,MATCH(B298,Planos_Contratos!$A$4:$A$203,0)),""))</x:f>
      </x:c>
      <x:c r="K298" s="70"/>
      <x:c r="L298" s="96" t="str">
        <x:f>IF(B298="","",IFERROR(INDEX(Planos_Contratos!$M$4:$M$203,MATCH(B298,Planos_Contratos!$A$4:$A$203,0)),""))</x:f>
      </x:c>
      <x:c r="M298" s="64"/>
    </x:row>
    <x:row r="299" ht="20" customHeight="1">
      <x:c r="A299" s="68" t="str">
        <x:f t="shared" si="8"/>
      </x:c>
      <x:c r="B299" s="64"/>
      <x:c r="C299" s="68" t="str">
        <x:f>IF(B299="","",IFERROR(INDEX(Planos_Contratos!$B$4:$B$203,MATCH(B299,Planos_Contratos!$A$4:$A$203,0)),""))</x:f>
      </x:c>
      <x:c r="D299" s="68" t="str">
        <x:f>IF(B299="","",IFERROR(INDEX(Planos_Contratos!$C$4:$C$203,MATCH(B299,Planos_Contratos!$A$4:$A$203,0)),""))</x:f>
      </x:c>
      <x:c r="E299" s="72"/>
      <x:c r="F299" s="72"/>
      <x:c r="G299" s="92" t="str">
        <x:f>IF(B299="","",IFERROR(INDEX(Planos_Contratos!$L$4:$L$203,MATCH(B299,Planos_Contratos!$A$4:$A$203,0))/MAX(1,INDEX(Planos_Contratos!$M$4:$M$203,MATCH(B299,Planos_Contratos!$A$4:$A$203,0))),""))</x:f>
      </x:c>
      <x:c r="H299" s="112"/>
      <x:c r="I299" s="92" t="str">
        <x:f t="shared" si="9"/>
      </x:c>
      <x:c r="J299" s="68" t="str">
        <x:f>IF(B299="","",IFERROR(INDEX(Planos_Contratos!$I$4:$I$203,MATCH(B299,Planos_Contratos!$A$4:$A$203,0)),""))</x:f>
      </x:c>
      <x:c r="K299" s="70"/>
      <x:c r="L299" s="96" t="str">
        <x:f>IF(B299="","",IFERROR(INDEX(Planos_Contratos!$M$4:$M$203,MATCH(B299,Planos_Contratos!$A$4:$A$203,0)),""))</x:f>
      </x:c>
      <x:c r="M299" s="64"/>
    </x:row>
    <x:row r="300" ht="20" customHeight="1">
      <x:c r="A300" s="68" t="str">
        <x:f t="shared" si="8"/>
      </x:c>
      <x:c r="B300" s="64"/>
      <x:c r="C300" s="68" t="str">
        <x:f>IF(B300="","",IFERROR(INDEX(Planos_Contratos!$B$4:$B$203,MATCH(B300,Planos_Contratos!$A$4:$A$203,0)),""))</x:f>
      </x:c>
      <x:c r="D300" s="68" t="str">
        <x:f>IF(B300="","",IFERROR(INDEX(Planos_Contratos!$C$4:$C$203,MATCH(B300,Planos_Contratos!$A$4:$A$203,0)),""))</x:f>
      </x:c>
      <x:c r="E300" s="72"/>
      <x:c r="F300" s="72"/>
      <x:c r="G300" s="92" t="str">
        <x:f>IF(B300="","",IFERROR(INDEX(Planos_Contratos!$L$4:$L$203,MATCH(B300,Planos_Contratos!$A$4:$A$203,0))/MAX(1,INDEX(Planos_Contratos!$M$4:$M$203,MATCH(B300,Planos_Contratos!$A$4:$A$203,0))),""))</x:f>
      </x:c>
      <x:c r="H300" s="112"/>
      <x:c r="I300" s="92" t="str">
        <x:f t="shared" si="9"/>
      </x:c>
      <x:c r="J300" s="68" t="str">
        <x:f>IF(B300="","",IFERROR(INDEX(Planos_Contratos!$I$4:$I$203,MATCH(B300,Planos_Contratos!$A$4:$A$203,0)),""))</x:f>
      </x:c>
      <x:c r="K300" s="70"/>
      <x:c r="L300" s="96" t="str">
        <x:f>IF(B300="","",IFERROR(INDEX(Planos_Contratos!$M$4:$M$203,MATCH(B300,Planos_Contratos!$A$4:$A$203,0)),""))</x:f>
      </x:c>
      <x:c r="M300" s="64"/>
    </x:row>
    <x:row r="301" ht="20" customHeight="1">
      <x:c r="A301" s="68" t="str">
        <x:f t="shared" si="8"/>
      </x:c>
      <x:c r="B301" s="64"/>
      <x:c r="C301" s="68" t="str">
        <x:f>IF(B301="","",IFERROR(INDEX(Planos_Contratos!$B$4:$B$203,MATCH(B301,Planos_Contratos!$A$4:$A$203,0)),""))</x:f>
      </x:c>
      <x:c r="D301" s="68" t="str">
        <x:f>IF(B301="","",IFERROR(INDEX(Planos_Contratos!$C$4:$C$203,MATCH(B301,Planos_Contratos!$A$4:$A$203,0)),""))</x:f>
      </x:c>
      <x:c r="E301" s="72"/>
      <x:c r="F301" s="72"/>
      <x:c r="G301" s="92" t="str">
        <x:f>IF(B301="","",IFERROR(INDEX(Planos_Contratos!$L$4:$L$203,MATCH(B301,Planos_Contratos!$A$4:$A$203,0))/MAX(1,INDEX(Planos_Contratos!$M$4:$M$203,MATCH(B301,Planos_Contratos!$A$4:$A$203,0))),""))</x:f>
      </x:c>
      <x:c r="H301" s="112"/>
      <x:c r="I301" s="92" t="str">
        <x:f t="shared" si="9"/>
      </x:c>
      <x:c r="J301" s="68" t="str">
        <x:f>IF(B301="","",IFERROR(INDEX(Planos_Contratos!$I$4:$I$203,MATCH(B301,Planos_Contratos!$A$4:$A$203,0)),""))</x:f>
      </x:c>
      <x:c r="K301" s="70"/>
      <x:c r="L301" s="96" t="str">
        <x:f>IF(B301="","",IFERROR(INDEX(Planos_Contratos!$M$4:$M$203,MATCH(B301,Planos_Contratos!$A$4:$A$203,0)),""))</x:f>
      </x:c>
      <x:c r="M301" s="64"/>
    </x:row>
    <x:row r="302" ht="20" customHeight="1">
      <x:c r="A302" s="68" t="str">
        <x:f t="shared" si="8"/>
      </x:c>
      <x:c r="B302" s="64"/>
      <x:c r="C302" s="68" t="str">
        <x:f>IF(B302="","",IFERROR(INDEX(Planos_Contratos!$B$4:$B$203,MATCH(B302,Planos_Contratos!$A$4:$A$203,0)),""))</x:f>
      </x:c>
      <x:c r="D302" s="68" t="str">
        <x:f>IF(B302="","",IFERROR(INDEX(Planos_Contratos!$C$4:$C$203,MATCH(B302,Planos_Contratos!$A$4:$A$203,0)),""))</x:f>
      </x:c>
      <x:c r="E302" s="72"/>
      <x:c r="F302" s="72"/>
      <x:c r="G302" s="92" t="str">
        <x:f>IF(B302="","",IFERROR(INDEX(Planos_Contratos!$L$4:$L$203,MATCH(B302,Planos_Contratos!$A$4:$A$203,0))/MAX(1,INDEX(Planos_Contratos!$M$4:$M$203,MATCH(B302,Planos_Contratos!$A$4:$A$203,0))),""))</x:f>
      </x:c>
      <x:c r="H302" s="112"/>
      <x:c r="I302" s="92" t="str">
        <x:f t="shared" si="9"/>
      </x:c>
      <x:c r="J302" s="68" t="str">
        <x:f>IF(B302="","",IFERROR(INDEX(Planos_Contratos!$I$4:$I$203,MATCH(B302,Planos_Contratos!$A$4:$A$203,0)),""))</x:f>
      </x:c>
      <x:c r="K302" s="70"/>
      <x:c r="L302" s="96" t="str">
        <x:f>IF(B302="","",IFERROR(INDEX(Planos_Contratos!$M$4:$M$203,MATCH(B302,Planos_Contratos!$A$4:$A$203,0)),""))</x:f>
      </x:c>
      <x:c r="M302" s="64"/>
    </x:row>
    <x:row r="303" ht="20" customHeight="1">
      <x:c r="A303" s="68" t="str">
        <x:f t="shared" si="8"/>
      </x:c>
      <x:c r="B303" s="64"/>
      <x:c r="C303" s="68" t="str">
        <x:f>IF(B303="","",IFERROR(INDEX(Planos_Contratos!$B$4:$B$203,MATCH(B303,Planos_Contratos!$A$4:$A$203,0)),""))</x:f>
      </x:c>
      <x:c r="D303" s="68" t="str">
        <x:f>IF(B303="","",IFERROR(INDEX(Planos_Contratos!$C$4:$C$203,MATCH(B303,Planos_Contratos!$A$4:$A$203,0)),""))</x:f>
      </x:c>
      <x:c r="E303" s="72"/>
      <x:c r="F303" s="72"/>
      <x:c r="G303" s="92" t="str">
        <x:f>IF(B303="","",IFERROR(INDEX(Planos_Contratos!$L$4:$L$203,MATCH(B303,Planos_Contratos!$A$4:$A$203,0))/MAX(1,INDEX(Planos_Contratos!$M$4:$M$203,MATCH(B303,Planos_Contratos!$A$4:$A$203,0))),""))</x:f>
      </x:c>
      <x:c r="H303" s="112"/>
      <x:c r="I303" s="92" t="str">
        <x:f t="shared" si="9"/>
      </x:c>
      <x:c r="J303" s="68" t="str">
        <x:f>IF(B303="","",IFERROR(INDEX(Planos_Contratos!$I$4:$I$203,MATCH(B303,Planos_Contratos!$A$4:$A$203,0)),""))</x:f>
      </x:c>
      <x:c r="K303" s="70"/>
      <x:c r="L303" s="96" t="str">
        <x:f>IF(B303="","",IFERROR(INDEX(Planos_Contratos!$M$4:$M$203,MATCH(B303,Planos_Contratos!$A$4:$A$203,0)),""))</x:f>
      </x:c>
      <x:c r="M303" s="64"/>
    </x:row>
    <x:row r="304" ht="20" customHeight="1">
      <x:c r="A304" s="68" t="str">
        <x:f t="shared" si="8"/>
      </x:c>
      <x:c r="B304" s="64"/>
      <x:c r="C304" s="68" t="str">
        <x:f>IF(B304="","",IFERROR(INDEX(Planos_Contratos!$B$4:$B$203,MATCH(B304,Planos_Contratos!$A$4:$A$203,0)),""))</x:f>
      </x:c>
      <x:c r="D304" s="68" t="str">
        <x:f>IF(B304="","",IFERROR(INDEX(Planos_Contratos!$C$4:$C$203,MATCH(B304,Planos_Contratos!$A$4:$A$203,0)),""))</x:f>
      </x:c>
      <x:c r="E304" s="72"/>
      <x:c r="F304" s="72"/>
      <x:c r="G304" s="92" t="str">
        <x:f>IF(B304="","",IFERROR(INDEX(Planos_Contratos!$L$4:$L$203,MATCH(B304,Planos_Contratos!$A$4:$A$203,0))/MAX(1,INDEX(Planos_Contratos!$M$4:$M$203,MATCH(B304,Planos_Contratos!$A$4:$A$203,0))),""))</x:f>
      </x:c>
      <x:c r="H304" s="112"/>
      <x:c r="I304" s="92" t="str">
        <x:f t="shared" si="9"/>
      </x:c>
      <x:c r="J304" s="68" t="str">
        <x:f>IF(B304="","",IFERROR(INDEX(Planos_Contratos!$I$4:$I$203,MATCH(B304,Planos_Contratos!$A$4:$A$203,0)),""))</x:f>
      </x:c>
      <x:c r="K304" s="70"/>
      <x:c r="L304" s="96" t="str">
        <x:f>IF(B304="","",IFERROR(INDEX(Planos_Contratos!$M$4:$M$203,MATCH(B304,Planos_Contratos!$A$4:$A$203,0)),""))</x:f>
      </x:c>
      <x:c r="M304" s="64"/>
    </x:row>
    <x:row r="305" ht="20" customHeight="1">
      <x:c r="A305" s="68" t="str">
        <x:f t="shared" si="8"/>
      </x:c>
      <x:c r="B305" s="64"/>
      <x:c r="C305" s="68" t="str">
        <x:f>IF(B305="","",IFERROR(INDEX(Planos_Contratos!$B$4:$B$203,MATCH(B305,Planos_Contratos!$A$4:$A$203,0)),""))</x:f>
      </x:c>
      <x:c r="D305" s="68" t="str">
        <x:f>IF(B305="","",IFERROR(INDEX(Planos_Contratos!$C$4:$C$203,MATCH(B305,Planos_Contratos!$A$4:$A$203,0)),""))</x:f>
      </x:c>
      <x:c r="E305" s="72"/>
      <x:c r="F305" s="72"/>
      <x:c r="G305" s="92" t="str">
        <x:f>IF(B305="","",IFERROR(INDEX(Planos_Contratos!$L$4:$L$203,MATCH(B305,Planos_Contratos!$A$4:$A$203,0))/MAX(1,INDEX(Planos_Contratos!$M$4:$M$203,MATCH(B305,Planos_Contratos!$A$4:$A$203,0))),""))</x:f>
      </x:c>
      <x:c r="H305" s="112"/>
      <x:c r="I305" s="92" t="str">
        <x:f t="shared" si="9"/>
      </x:c>
      <x:c r="J305" s="68" t="str">
        <x:f>IF(B305="","",IFERROR(INDEX(Planos_Contratos!$I$4:$I$203,MATCH(B305,Planos_Contratos!$A$4:$A$203,0)),""))</x:f>
      </x:c>
      <x:c r="K305" s="70"/>
      <x:c r="L305" s="96" t="str">
        <x:f>IF(B305="","",IFERROR(INDEX(Planos_Contratos!$M$4:$M$203,MATCH(B305,Planos_Contratos!$A$4:$A$203,0)),""))</x:f>
      </x:c>
      <x:c r="M305" s="64"/>
    </x:row>
    <x:row r="306" ht="20" customHeight="1">
      <x:c r="A306" s="68" t="str">
        <x:f t="shared" si="8"/>
      </x:c>
      <x:c r="B306" s="64"/>
      <x:c r="C306" s="68" t="str">
        <x:f>IF(B306="","",IFERROR(INDEX(Planos_Contratos!$B$4:$B$203,MATCH(B306,Planos_Contratos!$A$4:$A$203,0)),""))</x:f>
      </x:c>
      <x:c r="D306" s="68" t="str">
        <x:f>IF(B306="","",IFERROR(INDEX(Planos_Contratos!$C$4:$C$203,MATCH(B306,Planos_Contratos!$A$4:$A$203,0)),""))</x:f>
      </x:c>
      <x:c r="E306" s="72"/>
      <x:c r="F306" s="72"/>
      <x:c r="G306" s="92" t="str">
        <x:f>IF(B306="","",IFERROR(INDEX(Planos_Contratos!$L$4:$L$203,MATCH(B306,Planos_Contratos!$A$4:$A$203,0))/MAX(1,INDEX(Planos_Contratos!$M$4:$M$203,MATCH(B306,Planos_Contratos!$A$4:$A$203,0))),""))</x:f>
      </x:c>
      <x:c r="H306" s="112"/>
      <x:c r="I306" s="92" t="str">
        <x:f t="shared" si="9"/>
      </x:c>
      <x:c r="J306" s="68" t="str">
        <x:f>IF(B306="","",IFERROR(INDEX(Planos_Contratos!$I$4:$I$203,MATCH(B306,Planos_Contratos!$A$4:$A$203,0)),""))</x:f>
      </x:c>
      <x:c r="K306" s="70"/>
      <x:c r="L306" s="96" t="str">
        <x:f>IF(B306="","",IFERROR(INDEX(Planos_Contratos!$M$4:$M$203,MATCH(B306,Planos_Contratos!$A$4:$A$203,0)),""))</x:f>
      </x:c>
      <x:c r="M306" s="64"/>
    </x:row>
    <x:row r="307" ht="20" customHeight="1">
      <x:c r="A307" s="68" t="str">
        <x:f t="shared" si="8"/>
      </x:c>
      <x:c r="B307" s="64"/>
      <x:c r="C307" s="68" t="str">
        <x:f>IF(B307="","",IFERROR(INDEX(Planos_Contratos!$B$4:$B$203,MATCH(B307,Planos_Contratos!$A$4:$A$203,0)),""))</x:f>
      </x:c>
      <x:c r="D307" s="68" t="str">
        <x:f>IF(B307="","",IFERROR(INDEX(Planos_Contratos!$C$4:$C$203,MATCH(B307,Planos_Contratos!$A$4:$A$203,0)),""))</x:f>
      </x:c>
      <x:c r="E307" s="72"/>
      <x:c r="F307" s="72"/>
      <x:c r="G307" s="92" t="str">
        <x:f>IF(B307="","",IFERROR(INDEX(Planos_Contratos!$L$4:$L$203,MATCH(B307,Planos_Contratos!$A$4:$A$203,0))/MAX(1,INDEX(Planos_Contratos!$M$4:$M$203,MATCH(B307,Planos_Contratos!$A$4:$A$203,0))),""))</x:f>
      </x:c>
      <x:c r="H307" s="112"/>
      <x:c r="I307" s="92" t="str">
        <x:f t="shared" si="9"/>
      </x:c>
      <x:c r="J307" s="68" t="str">
        <x:f>IF(B307="","",IFERROR(INDEX(Planos_Contratos!$I$4:$I$203,MATCH(B307,Planos_Contratos!$A$4:$A$203,0)),""))</x:f>
      </x:c>
      <x:c r="K307" s="70"/>
      <x:c r="L307" s="96" t="str">
        <x:f>IF(B307="","",IFERROR(INDEX(Planos_Contratos!$M$4:$M$203,MATCH(B307,Planos_Contratos!$A$4:$A$203,0)),""))</x:f>
      </x:c>
      <x:c r="M307" s="64"/>
    </x:row>
    <x:row r="308" ht="20" customHeight="1">
      <x:c r="A308" s="68" t="str">
        <x:f t="shared" si="8"/>
      </x:c>
      <x:c r="B308" s="64"/>
      <x:c r="C308" s="68" t="str">
        <x:f>IF(B308="","",IFERROR(INDEX(Planos_Contratos!$B$4:$B$203,MATCH(B308,Planos_Contratos!$A$4:$A$203,0)),""))</x:f>
      </x:c>
      <x:c r="D308" s="68" t="str">
        <x:f>IF(B308="","",IFERROR(INDEX(Planos_Contratos!$C$4:$C$203,MATCH(B308,Planos_Contratos!$A$4:$A$203,0)),""))</x:f>
      </x:c>
      <x:c r="E308" s="72"/>
      <x:c r="F308" s="72"/>
      <x:c r="G308" s="92" t="str">
        <x:f>IF(B308="","",IFERROR(INDEX(Planos_Contratos!$L$4:$L$203,MATCH(B308,Planos_Contratos!$A$4:$A$203,0))/MAX(1,INDEX(Planos_Contratos!$M$4:$M$203,MATCH(B308,Planos_Contratos!$A$4:$A$203,0))),""))</x:f>
      </x:c>
      <x:c r="H308" s="112"/>
      <x:c r="I308" s="92" t="str">
        <x:f t="shared" si="9"/>
      </x:c>
      <x:c r="J308" s="68" t="str">
        <x:f>IF(B308="","",IFERROR(INDEX(Planos_Contratos!$I$4:$I$203,MATCH(B308,Planos_Contratos!$A$4:$A$203,0)),""))</x:f>
      </x:c>
      <x:c r="K308" s="70"/>
      <x:c r="L308" s="96" t="str">
        <x:f>IF(B308="","",IFERROR(INDEX(Planos_Contratos!$M$4:$M$203,MATCH(B308,Planos_Contratos!$A$4:$A$203,0)),""))</x:f>
      </x:c>
      <x:c r="M308" s="64"/>
    </x:row>
    <x:row r="309" ht="20" customHeight="1">
      <x:c r="A309" s="68" t="str">
        <x:f t="shared" si="8"/>
      </x:c>
      <x:c r="B309" s="64"/>
      <x:c r="C309" s="68" t="str">
        <x:f>IF(B309="","",IFERROR(INDEX(Planos_Contratos!$B$4:$B$203,MATCH(B309,Planos_Contratos!$A$4:$A$203,0)),""))</x:f>
      </x:c>
      <x:c r="D309" s="68" t="str">
        <x:f>IF(B309="","",IFERROR(INDEX(Planos_Contratos!$C$4:$C$203,MATCH(B309,Planos_Contratos!$A$4:$A$203,0)),""))</x:f>
      </x:c>
      <x:c r="E309" s="72"/>
      <x:c r="F309" s="72"/>
      <x:c r="G309" s="92" t="str">
        <x:f>IF(B309="","",IFERROR(INDEX(Planos_Contratos!$L$4:$L$203,MATCH(B309,Planos_Contratos!$A$4:$A$203,0))/MAX(1,INDEX(Planos_Contratos!$M$4:$M$203,MATCH(B309,Planos_Contratos!$A$4:$A$203,0))),""))</x:f>
      </x:c>
      <x:c r="H309" s="112"/>
      <x:c r="I309" s="92" t="str">
        <x:f t="shared" si="9"/>
      </x:c>
      <x:c r="J309" s="68" t="str">
        <x:f>IF(B309="","",IFERROR(INDEX(Planos_Contratos!$I$4:$I$203,MATCH(B309,Planos_Contratos!$A$4:$A$203,0)),""))</x:f>
      </x:c>
      <x:c r="K309" s="70"/>
      <x:c r="L309" s="96" t="str">
        <x:f>IF(B309="","",IFERROR(INDEX(Planos_Contratos!$M$4:$M$203,MATCH(B309,Planos_Contratos!$A$4:$A$203,0)),""))</x:f>
      </x:c>
      <x:c r="M309" s="64"/>
    </x:row>
    <x:row r="310" ht="20" customHeight="1">
      <x:c r="A310" s="68" t="str">
        <x:f t="shared" si="8"/>
      </x:c>
      <x:c r="B310" s="64"/>
      <x:c r="C310" s="68" t="str">
        <x:f>IF(B310="","",IFERROR(INDEX(Planos_Contratos!$B$4:$B$203,MATCH(B310,Planos_Contratos!$A$4:$A$203,0)),""))</x:f>
      </x:c>
      <x:c r="D310" s="68" t="str">
        <x:f>IF(B310="","",IFERROR(INDEX(Planos_Contratos!$C$4:$C$203,MATCH(B310,Planos_Contratos!$A$4:$A$203,0)),""))</x:f>
      </x:c>
      <x:c r="E310" s="72"/>
      <x:c r="F310" s="72"/>
      <x:c r="G310" s="92" t="str">
        <x:f>IF(B310="","",IFERROR(INDEX(Planos_Contratos!$L$4:$L$203,MATCH(B310,Planos_Contratos!$A$4:$A$203,0))/MAX(1,INDEX(Planos_Contratos!$M$4:$M$203,MATCH(B310,Planos_Contratos!$A$4:$A$203,0))),""))</x:f>
      </x:c>
      <x:c r="H310" s="112"/>
      <x:c r="I310" s="92" t="str">
        <x:f t="shared" si="9"/>
      </x:c>
      <x:c r="J310" s="68" t="str">
        <x:f>IF(B310="","",IFERROR(INDEX(Planos_Contratos!$I$4:$I$203,MATCH(B310,Planos_Contratos!$A$4:$A$203,0)),""))</x:f>
      </x:c>
      <x:c r="K310" s="70"/>
      <x:c r="L310" s="96" t="str">
        <x:f>IF(B310="","",IFERROR(INDEX(Planos_Contratos!$M$4:$M$203,MATCH(B310,Planos_Contratos!$A$4:$A$203,0)),""))</x:f>
      </x:c>
      <x:c r="M310" s="64"/>
    </x:row>
    <x:row r="311" ht="20" customHeight="1">
      <x:c r="A311" s="68" t="str">
        <x:f t="shared" si="8"/>
      </x:c>
      <x:c r="B311" s="64"/>
      <x:c r="C311" s="68" t="str">
        <x:f>IF(B311="","",IFERROR(INDEX(Planos_Contratos!$B$4:$B$203,MATCH(B311,Planos_Contratos!$A$4:$A$203,0)),""))</x:f>
      </x:c>
      <x:c r="D311" s="68" t="str">
        <x:f>IF(B311="","",IFERROR(INDEX(Planos_Contratos!$C$4:$C$203,MATCH(B311,Planos_Contratos!$A$4:$A$203,0)),""))</x:f>
      </x:c>
      <x:c r="E311" s="72"/>
      <x:c r="F311" s="72"/>
      <x:c r="G311" s="92" t="str">
        <x:f>IF(B311="","",IFERROR(INDEX(Planos_Contratos!$L$4:$L$203,MATCH(B311,Planos_Contratos!$A$4:$A$203,0))/MAX(1,INDEX(Planos_Contratos!$M$4:$M$203,MATCH(B311,Planos_Contratos!$A$4:$A$203,0))),""))</x:f>
      </x:c>
      <x:c r="H311" s="112"/>
      <x:c r="I311" s="92" t="str">
        <x:f t="shared" si="9"/>
      </x:c>
      <x:c r="J311" s="68" t="str">
        <x:f>IF(B311="","",IFERROR(INDEX(Planos_Contratos!$I$4:$I$203,MATCH(B311,Planos_Contratos!$A$4:$A$203,0)),""))</x:f>
      </x:c>
      <x:c r="K311" s="70"/>
      <x:c r="L311" s="96" t="str">
        <x:f>IF(B311="","",IFERROR(INDEX(Planos_Contratos!$M$4:$M$203,MATCH(B311,Planos_Contratos!$A$4:$A$203,0)),""))</x:f>
      </x:c>
      <x:c r="M311" s="64"/>
    </x:row>
    <x:row r="312" ht="20" customHeight="1">
      <x:c r="A312" s="68" t="str">
        <x:f t="shared" si="8"/>
      </x:c>
      <x:c r="B312" s="64"/>
      <x:c r="C312" s="68" t="str">
        <x:f>IF(B312="","",IFERROR(INDEX(Planos_Contratos!$B$4:$B$203,MATCH(B312,Planos_Contratos!$A$4:$A$203,0)),""))</x:f>
      </x:c>
      <x:c r="D312" s="68" t="str">
        <x:f>IF(B312="","",IFERROR(INDEX(Planos_Contratos!$C$4:$C$203,MATCH(B312,Planos_Contratos!$A$4:$A$203,0)),""))</x:f>
      </x:c>
      <x:c r="E312" s="72"/>
      <x:c r="F312" s="72"/>
      <x:c r="G312" s="92" t="str">
        <x:f>IF(B312="","",IFERROR(INDEX(Planos_Contratos!$L$4:$L$203,MATCH(B312,Planos_Contratos!$A$4:$A$203,0))/MAX(1,INDEX(Planos_Contratos!$M$4:$M$203,MATCH(B312,Planos_Contratos!$A$4:$A$203,0))),""))</x:f>
      </x:c>
      <x:c r="H312" s="112"/>
      <x:c r="I312" s="92" t="str">
        <x:f t="shared" si="9"/>
      </x:c>
      <x:c r="J312" s="68" t="str">
        <x:f>IF(B312="","",IFERROR(INDEX(Planos_Contratos!$I$4:$I$203,MATCH(B312,Planos_Contratos!$A$4:$A$203,0)),""))</x:f>
      </x:c>
      <x:c r="K312" s="70"/>
      <x:c r="L312" s="96" t="str">
        <x:f>IF(B312="","",IFERROR(INDEX(Planos_Contratos!$M$4:$M$203,MATCH(B312,Planos_Contratos!$A$4:$A$203,0)),""))</x:f>
      </x:c>
      <x:c r="M312" s="64"/>
    </x:row>
    <x:row r="313" ht="20" customHeight="1">
      <x:c r="A313" s="68" t="str">
        <x:f t="shared" si="8"/>
      </x:c>
      <x:c r="B313" s="64"/>
      <x:c r="C313" s="68" t="str">
        <x:f>IF(B313="","",IFERROR(INDEX(Planos_Contratos!$B$4:$B$203,MATCH(B313,Planos_Contratos!$A$4:$A$203,0)),""))</x:f>
      </x:c>
      <x:c r="D313" s="68" t="str">
        <x:f>IF(B313="","",IFERROR(INDEX(Planos_Contratos!$C$4:$C$203,MATCH(B313,Planos_Contratos!$A$4:$A$203,0)),""))</x:f>
      </x:c>
      <x:c r="E313" s="72"/>
      <x:c r="F313" s="72"/>
      <x:c r="G313" s="92" t="str">
        <x:f>IF(B313="","",IFERROR(INDEX(Planos_Contratos!$L$4:$L$203,MATCH(B313,Planos_Contratos!$A$4:$A$203,0))/MAX(1,INDEX(Planos_Contratos!$M$4:$M$203,MATCH(B313,Planos_Contratos!$A$4:$A$203,0))),""))</x:f>
      </x:c>
      <x:c r="H313" s="112"/>
      <x:c r="I313" s="92" t="str">
        <x:f t="shared" si="9"/>
      </x:c>
      <x:c r="J313" s="68" t="str">
        <x:f>IF(B313="","",IFERROR(INDEX(Planos_Contratos!$I$4:$I$203,MATCH(B313,Planos_Contratos!$A$4:$A$203,0)),""))</x:f>
      </x:c>
      <x:c r="K313" s="70"/>
      <x:c r="L313" s="96" t="str">
        <x:f>IF(B313="","",IFERROR(INDEX(Planos_Contratos!$M$4:$M$203,MATCH(B313,Planos_Contratos!$A$4:$A$203,0)),""))</x:f>
      </x:c>
      <x:c r="M313" s="64"/>
    </x:row>
    <x:row r="314" ht="20" customHeight="1">
      <x:c r="A314" s="68" t="str">
        <x:f t="shared" si="8"/>
      </x:c>
      <x:c r="B314" s="64"/>
      <x:c r="C314" s="68" t="str">
        <x:f>IF(B314="","",IFERROR(INDEX(Planos_Contratos!$B$4:$B$203,MATCH(B314,Planos_Contratos!$A$4:$A$203,0)),""))</x:f>
      </x:c>
      <x:c r="D314" s="68" t="str">
        <x:f>IF(B314="","",IFERROR(INDEX(Planos_Contratos!$C$4:$C$203,MATCH(B314,Planos_Contratos!$A$4:$A$203,0)),""))</x:f>
      </x:c>
      <x:c r="E314" s="72"/>
      <x:c r="F314" s="72"/>
      <x:c r="G314" s="92" t="str">
        <x:f>IF(B314="","",IFERROR(INDEX(Planos_Contratos!$L$4:$L$203,MATCH(B314,Planos_Contratos!$A$4:$A$203,0))/MAX(1,INDEX(Planos_Contratos!$M$4:$M$203,MATCH(B314,Planos_Contratos!$A$4:$A$203,0))),""))</x:f>
      </x:c>
      <x:c r="H314" s="112"/>
      <x:c r="I314" s="92" t="str">
        <x:f t="shared" si="9"/>
      </x:c>
      <x:c r="J314" s="68" t="str">
        <x:f>IF(B314="","",IFERROR(INDEX(Planos_Contratos!$I$4:$I$203,MATCH(B314,Planos_Contratos!$A$4:$A$203,0)),""))</x:f>
      </x:c>
      <x:c r="K314" s="70"/>
      <x:c r="L314" s="96" t="str">
        <x:f>IF(B314="","",IFERROR(INDEX(Planos_Contratos!$M$4:$M$203,MATCH(B314,Planos_Contratos!$A$4:$A$203,0)),""))</x:f>
      </x:c>
      <x:c r="M314" s="64"/>
    </x:row>
    <x:row r="315" ht="20" customHeight="1">
      <x:c r="A315" s="68" t="str">
        <x:f t="shared" si="8"/>
      </x:c>
      <x:c r="B315" s="64"/>
      <x:c r="C315" s="68" t="str">
        <x:f>IF(B315="","",IFERROR(INDEX(Planos_Contratos!$B$4:$B$203,MATCH(B315,Planos_Contratos!$A$4:$A$203,0)),""))</x:f>
      </x:c>
      <x:c r="D315" s="68" t="str">
        <x:f>IF(B315="","",IFERROR(INDEX(Planos_Contratos!$C$4:$C$203,MATCH(B315,Planos_Contratos!$A$4:$A$203,0)),""))</x:f>
      </x:c>
      <x:c r="E315" s="72"/>
      <x:c r="F315" s="72"/>
      <x:c r="G315" s="92" t="str">
        <x:f>IF(B315="","",IFERROR(INDEX(Planos_Contratos!$L$4:$L$203,MATCH(B315,Planos_Contratos!$A$4:$A$203,0))/MAX(1,INDEX(Planos_Contratos!$M$4:$M$203,MATCH(B315,Planos_Contratos!$A$4:$A$203,0))),""))</x:f>
      </x:c>
      <x:c r="H315" s="112"/>
      <x:c r="I315" s="92" t="str">
        <x:f t="shared" si="9"/>
      </x:c>
      <x:c r="J315" s="68" t="str">
        <x:f>IF(B315="","",IFERROR(INDEX(Planos_Contratos!$I$4:$I$203,MATCH(B315,Planos_Contratos!$A$4:$A$203,0)),""))</x:f>
      </x:c>
      <x:c r="K315" s="70"/>
      <x:c r="L315" s="96" t="str">
        <x:f>IF(B315="","",IFERROR(INDEX(Planos_Contratos!$M$4:$M$203,MATCH(B315,Planos_Contratos!$A$4:$A$203,0)),""))</x:f>
      </x:c>
      <x:c r="M315" s="64"/>
    </x:row>
    <x:row r="316" ht="20" customHeight="1">
      <x:c r="A316" s="68" t="str">
        <x:f t="shared" si="8"/>
      </x:c>
      <x:c r="B316" s="64"/>
      <x:c r="C316" s="68" t="str">
        <x:f>IF(B316="","",IFERROR(INDEX(Planos_Contratos!$B$4:$B$203,MATCH(B316,Planos_Contratos!$A$4:$A$203,0)),""))</x:f>
      </x:c>
      <x:c r="D316" s="68" t="str">
        <x:f>IF(B316="","",IFERROR(INDEX(Planos_Contratos!$C$4:$C$203,MATCH(B316,Planos_Contratos!$A$4:$A$203,0)),""))</x:f>
      </x:c>
      <x:c r="E316" s="72"/>
      <x:c r="F316" s="72"/>
      <x:c r="G316" s="92" t="str">
        <x:f>IF(B316="","",IFERROR(INDEX(Planos_Contratos!$L$4:$L$203,MATCH(B316,Planos_Contratos!$A$4:$A$203,0))/MAX(1,INDEX(Planos_Contratos!$M$4:$M$203,MATCH(B316,Planos_Contratos!$A$4:$A$203,0))),""))</x:f>
      </x:c>
      <x:c r="H316" s="112"/>
      <x:c r="I316" s="92" t="str">
        <x:f t="shared" si="9"/>
      </x:c>
      <x:c r="J316" s="68" t="str">
        <x:f>IF(B316="","",IFERROR(INDEX(Planos_Contratos!$I$4:$I$203,MATCH(B316,Planos_Contratos!$A$4:$A$203,0)),""))</x:f>
      </x:c>
      <x:c r="K316" s="70"/>
      <x:c r="L316" s="96" t="str">
        <x:f>IF(B316="","",IFERROR(INDEX(Planos_Contratos!$M$4:$M$203,MATCH(B316,Planos_Contratos!$A$4:$A$203,0)),""))</x:f>
      </x:c>
      <x:c r="M316" s="64"/>
    </x:row>
    <x:row r="317" ht="20" customHeight="1">
      <x:c r="A317" s="68" t="str">
        <x:f t="shared" si="8"/>
      </x:c>
      <x:c r="B317" s="64"/>
      <x:c r="C317" s="68" t="str">
        <x:f>IF(B317="","",IFERROR(INDEX(Planos_Contratos!$B$4:$B$203,MATCH(B317,Planos_Contratos!$A$4:$A$203,0)),""))</x:f>
      </x:c>
      <x:c r="D317" s="68" t="str">
        <x:f>IF(B317="","",IFERROR(INDEX(Planos_Contratos!$C$4:$C$203,MATCH(B317,Planos_Contratos!$A$4:$A$203,0)),""))</x:f>
      </x:c>
      <x:c r="E317" s="72"/>
      <x:c r="F317" s="72"/>
      <x:c r="G317" s="92" t="str">
        <x:f>IF(B317="","",IFERROR(INDEX(Planos_Contratos!$L$4:$L$203,MATCH(B317,Planos_Contratos!$A$4:$A$203,0))/MAX(1,INDEX(Planos_Contratos!$M$4:$M$203,MATCH(B317,Planos_Contratos!$A$4:$A$203,0))),""))</x:f>
      </x:c>
      <x:c r="H317" s="112"/>
      <x:c r="I317" s="92" t="str">
        <x:f t="shared" si="9"/>
      </x:c>
      <x:c r="J317" s="68" t="str">
        <x:f>IF(B317="","",IFERROR(INDEX(Planos_Contratos!$I$4:$I$203,MATCH(B317,Planos_Contratos!$A$4:$A$203,0)),""))</x:f>
      </x:c>
      <x:c r="K317" s="70"/>
      <x:c r="L317" s="96" t="str">
        <x:f>IF(B317="","",IFERROR(INDEX(Planos_Contratos!$M$4:$M$203,MATCH(B317,Planos_Contratos!$A$4:$A$203,0)),""))</x:f>
      </x:c>
      <x:c r="M317" s="64"/>
    </x:row>
    <x:row r="318" ht="20" customHeight="1">
      <x:c r="A318" s="68" t="str">
        <x:f t="shared" si="8"/>
      </x:c>
      <x:c r="B318" s="64"/>
      <x:c r="C318" s="68" t="str">
        <x:f>IF(B318="","",IFERROR(INDEX(Planos_Contratos!$B$4:$B$203,MATCH(B318,Planos_Contratos!$A$4:$A$203,0)),""))</x:f>
      </x:c>
      <x:c r="D318" s="68" t="str">
        <x:f>IF(B318="","",IFERROR(INDEX(Planos_Contratos!$C$4:$C$203,MATCH(B318,Planos_Contratos!$A$4:$A$203,0)),""))</x:f>
      </x:c>
      <x:c r="E318" s="72"/>
      <x:c r="F318" s="72"/>
      <x:c r="G318" s="92" t="str">
        <x:f>IF(B318="","",IFERROR(INDEX(Planos_Contratos!$L$4:$L$203,MATCH(B318,Planos_Contratos!$A$4:$A$203,0))/MAX(1,INDEX(Planos_Contratos!$M$4:$M$203,MATCH(B318,Planos_Contratos!$A$4:$A$203,0))),""))</x:f>
      </x:c>
      <x:c r="H318" s="112"/>
      <x:c r="I318" s="92" t="str">
        <x:f t="shared" si="9"/>
      </x:c>
      <x:c r="J318" s="68" t="str">
        <x:f>IF(B318="","",IFERROR(INDEX(Planos_Contratos!$I$4:$I$203,MATCH(B318,Planos_Contratos!$A$4:$A$203,0)),""))</x:f>
      </x:c>
      <x:c r="K318" s="70"/>
      <x:c r="L318" s="96" t="str">
        <x:f>IF(B318="","",IFERROR(INDEX(Planos_Contratos!$M$4:$M$203,MATCH(B318,Planos_Contratos!$A$4:$A$203,0)),""))</x:f>
      </x:c>
      <x:c r="M318" s="64"/>
    </x:row>
    <x:row r="319" ht="20" customHeight="1">
      <x:c r="A319" s="68" t="str">
        <x:f t="shared" si="8"/>
      </x:c>
      <x:c r="B319" s="64"/>
      <x:c r="C319" s="68" t="str">
        <x:f>IF(B319="","",IFERROR(INDEX(Planos_Contratos!$B$4:$B$203,MATCH(B319,Planos_Contratos!$A$4:$A$203,0)),""))</x:f>
      </x:c>
      <x:c r="D319" s="68" t="str">
        <x:f>IF(B319="","",IFERROR(INDEX(Planos_Contratos!$C$4:$C$203,MATCH(B319,Planos_Contratos!$A$4:$A$203,0)),""))</x:f>
      </x:c>
      <x:c r="E319" s="72"/>
      <x:c r="F319" s="72"/>
      <x:c r="G319" s="92" t="str">
        <x:f>IF(B319="","",IFERROR(INDEX(Planos_Contratos!$L$4:$L$203,MATCH(B319,Planos_Contratos!$A$4:$A$203,0))/MAX(1,INDEX(Planos_Contratos!$M$4:$M$203,MATCH(B319,Planos_Contratos!$A$4:$A$203,0))),""))</x:f>
      </x:c>
      <x:c r="H319" s="112"/>
      <x:c r="I319" s="92" t="str">
        <x:f t="shared" si="9"/>
      </x:c>
      <x:c r="J319" s="68" t="str">
        <x:f>IF(B319="","",IFERROR(INDEX(Planos_Contratos!$I$4:$I$203,MATCH(B319,Planos_Contratos!$A$4:$A$203,0)),""))</x:f>
      </x:c>
      <x:c r="K319" s="70"/>
      <x:c r="L319" s="96" t="str">
        <x:f>IF(B319="","",IFERROR(INDEX(Planos_Contratos!$M$4:$M$203,MATCH(B319,Planos_Contratos!$A$4:$A$203,0)),""))</x:f>
      </x:c>
      <x:c r="M319" s="64"/>
    </x:row>
    <x:row r="320" ht="20" customHeight="1">
      <x:c r="A320" s="68" t="str">
        <x:f t="shared" si="8"/>
      </x:c>
      <x:c r="B320" s="64"/>
      <x:c r="C320" s="68" t="str">
        <x:f>IF(B320="","",IFERROR(INDEX(Planos_Contratos!$B$4:$B$203,MATCH(B320,Planos_Contratos!$A$4:$A$203,0)),""))</x:f>
      </x:c>
      <x:c r="D320" s="68" t="str">
        <x:f>IF(B320="","",IFERROR(INDEX(Planos_Contratos!$C$4:$C$203,MATCH(B320,Planos_Contratos!$A$4:$A$203,0)),""))</x:f>
      </x:c>
      <x:c r="E320" s="72"/>
      <x:c r="F320" s="72"/>
      <x:c r="G320" s="92" t="str">
        <x:f>IF(B320="","",IFERROR(INDEX(Planos_Contratos!$L$4:$L$203,MATCH(B320,Planos_Contratos!$A$4:$A$203,0))/MAX(1,INDEX(Planos_Contratos!$M$4:$M$203,MATCH(B320,Planos_Contratos!$A$4:$A$203,0))),""))</x:f>
      </x:c>
      <x:c r="H320" s="112"/>
      <x:c r="I320" s="92" t="str">
        <x:f t="shared" si="9"/>
      </x:c>
      <x:c r="J320" s="68" t="str">
        <x:f>IF(B320="","",IFERROR(INDEX(Planos_Contratos!$I$4:$I$203,MATCH(B320,Planos_Contratos!$A$4:$A$203,0)),""))</x:f>
      </x:c>
      <x:c r="K320" s="70"/>
      <x:c r="L320" s="96" t="str">
        <x:f>IF(B320="","",IFERROR(INDEX(Planos_Contratos!$M$4:$M$203,MATCH(B320,Planos_Contratos!$A$4:$A$203,0)),""))</x:f>
      </x:c>
      <x:c r="M320" s="64"/>
    </x:row>
    <x:row r="321" ht="20" customHeight="1">
      <x:c r="A321" s="68" t="str">
        <x:f t="shared" si="8"/>
      </x:c>
      <x:c r="B321" s="64"/>
      <x:c r="C321" s="68" t="str">
        <x:f>IF(B321="","",IFERROR(INDEX(Planos_Contratos!$B$4:$B$203,MATCH(B321,Planos_Contratos!$A$4:$A$203,0)),""))</x:f>
      </x:c>
      <x:c r="D321" s="68" t="str">
        <x:f>IF(B321="","",IFERROR(INDEX(Planos_Contratos!$C$4:$C$203,MATCH(B321,Planos_Contratos!$A$4:$A$203,0)),""))</x:f>
      </x:c>
      <x:c r="E321" s="72"/>
      <x:c r="F321" s="72"/>
      <x:c r="G321" s="92" t="str">
        <x:f>IF(B321="","",IFERROR(INDEX(Planos_Contratos!$L$4:$L$203,MATCH(B321,Planos_Contratos!$A$4:$A$203,0))/MAX(1,INDEX(Planos_Contratos!$M$4:$M$203,MATCH(B321,Planos_Contratos!$A$4:$A$203,0))),""))</x:f>
      </x:c>
      <x:c r="H321" s="112"/>
      <x:c r="I321" s="92" t="str">
        <x:f t="shared" si="9"/>
      </x:c>
      <x:c r="J321" s="68" t="str">
        <x:f>IF(B321="","",IFERROR(INDEX(Planos_Contratos!$I$4:$I$203,MATCH(B321,Planos_Contratos!$A$4:$A$203,0)),""))</x:f>
      </x:c>
      <x:c r="K321" s="70"/>
      <x:c r="L321" s="96" t="str">
        <x:f>IF(B321="","",IFERROR(INDEX(Planos_Contratos!$M$4:$M$203,MATCH(B321,Planos_Contratos!$A$4:$A$203,0)),""))</x:f>
      </x:c>
      <x:c r="M321" s="64"/>
    </x:row>
    <x:row r="322" ht="20" customHeight="1">
      <x:c r="A322" s="68" t="str">
        <x:f t="shared" si="8"/>
      </x:c>
      <x:c r="B322" s="64"/>
      <x:c r="C322" s="68" t="str">
        <x:f>IF(B322="","",IFERROR(INDEX(Planos_Contratos!$B$4:$B$203,MATCH(B322,Planos_Contratos!$A$4:$A$203,0)),""))</x:f>
      </x:c>
      <x:c r="D322" s="68" t="str">
        <x:f>IF(B322="","",IFERROR(INDEX(Planos_Contratos!$C$4:$C$203,MATCH(B322,Planos_Contratos!$A$4:$A$203,0)),""))</x:f>
      </x:c>
      <x:c r="E322" s="72"/>
      <x:c r="F322" s="72"/>
      <x:c r="G322" s="92" t="str">
        <x:f>IF(B322="","",IFERROR(INDEX(Planos_Contratos!$L$4:$L$203,MATCH(B322,Planos_Contratos!$A$4:$A$203,0))/MAX(1,INDEX(Planos_Contratos!$M$4:$M$203,MATCH(B322,Planos_Contratos!$A$4:$A$203,0))),""))</x:f>
      </x:c>
      <x:c r="H322" s="112"/>
      <x:c r="I322" s="92" t="str">
        <x:f t="shared" si="9"/>
      </x:c>
      <x:c r="J322" s="68" t="str">
        <x:f>IF(B322="","",IFERROR(INDEX(Planos_Contratos!$I$4:$I$203,MATCH(B322,Planos_Contratos!$A$4:$A$203,0)),""))</x:f>
      </x:c>
      <x:c r="K322" s="70"/>
      <x:c r="L322" s="96" t="str">
        <x:f>IF(B322="","",IFERROR(INDEX(Planos_Contratos!$M$4:$M$203,MATCH(B322,Planos_Contratos!$A$4:$A$203,0)),""))</x:f>
      </x:c>
      <x:c r="M322" s="64"/>
    </x:row>
    <x:row r="323" ht="20" customHeight="1">
      <x:c r="A323" s="68" t="str">
        <x:f t="shared" si="8"/>
      </x:c>
      <x:c r="B323" s="64"/>
      <x:c r="C323" s="68" t="str">
        <x:f>IF(B323="","",IFERROR(INDEX(Planos_Contratos!$B$4:$B$203,MATCH(B323,Planos_Contratos!$A$4:$A$203,0)),""))</x:f>
      </x:c>
      <x:c r="D323" s="68" t="str">
        <x:f>IF(B323="","",IFERROR(INDEX(Planos_Contratos!$C$4:$C$203,MATCH(B323,Planos_Contratos!$A$4:$A$203,0)),""))</x:f>
      </x:c>
      <x:c r="E323" s="72"/>
      <x:c r="F323" s="72"/>
      <x:c r="G323" s="92" t="str">
        <x:f>IF(B323="","",IFERROR(INDEX(Planos_Contratos!$L$4:$L$203,MATCH(B323,Planos_Contratos!$A$4:$A$203,0))/MAX(1,INDEX(Planos_Contratos!$M$4:$M$203,MATCH(B323,Planos_Contratos!$A$4:$A$203,0))),""))</x:f>
      </x:c>
      <x:c r="H323" s="112"/>
      <x:c r="I323" s="92" t="str">
        <x:f t="shared" si="9"/>
      </x:c>
      <x:c r="J323" s="68" t="str">
        <x:f>IF(B323="","",IFERROR(INDEX(Planos_Contratos!$I$4:$I$203,MATCH(B323,Planos_Contratos!$A$4:$A$203,0)),""))</x:f>
      </x:c>
      <x:c r="K323" s="70"/>
      <x:c r="L323" s="96" t="str">
        <x:f>IF(B323="","",IFERROR(INDEX(Planos_Contratos!$M$4:$M$203,MATCH(B323,Planos_Contratos!$A$4:$A$203,0)),""))</x:f>
      </x:c>
      <x:c r="M323" s="64"/>
    </x:row>
    <x:row r="324" ht="20" customHeight="1">
      <x:c r="A324" s="68" t="str">
        <x:f t="shared" ref="A324:A387" si="10">IF(B324="","",ROW()-3)</x:f>
      </x:c>
      <x:c r="B324" s="64"/>
      <x:c r="C324" s="68" t="str">
        <x:f>IF(B324="","",IFERROR(INDEX(Planos_Contratos!$B$4:$B$203,MATCH(B324,Planos_Contratos!$A$4:$A$203,0)),""))</x:f>
      </x:c>
      <x:c r="D324" s="68" t="str">
        <x:f>IF(B324="","",IFERROR(INDEX(Planos_Contratos!$C$4:$C$203,MATCH(B324,Planos_Contratos!$A$4:$A$203,0)),""))</x:f>
      </x:c>
      <x:c r="E324" s="72"/>
      <x:c r="F324" s="72"/>
      <x:c r="G324" s="92" t="str">
        <x:f>IF(B324="","",IFERROR(INDEX(Planos_Contratos!$L$4:$L$203,MATCH(B324,Planos_Contratos!$A$4:$A$203,0))/MAX(1,INDEX(Planos_Contratos!$M$4:$M$203,MATCH(B324,Planos_Contratos!$A$4:$A$203,0))),""))</x:f>
      </x:c>
      <x:c r="H324" s="112"/>
      <x:c r="I324" s="92" t="str">
        <x:f t="shared" ref="I324:I387" si="11">IF(G324="","",G324-H324)</x:f>
      </x:c>
      <x:c r="J324" s="68" t="str">
        <x:f>IF(B324="","",IFERROR(INDEX(Planos_Contratos!$I$4:$I$203,MATCH(B324,Planos_Contratos!$A$4:$A$203,0)),""))</x:f>
      </x:c>
      <x:c r="K324" s="70"/>
      <x:c r="L324" s="96" t="str">
        <x:f>IF(B324="","",IFERROR(INDEX(Planos_Contratos!$M$4:$M$203,MATCH(B324,Planos_Contratos!$A$4:$A$203,0)),""))</x:f>
      </x:c>
      <x:c r="M324" s="64"/>
    </x:row>
    <x:row r="325" ht="20" customHeight="1">
      <x:c r="A325" s="68" t="str">
        <x:f t="shared" si="10"/>
      </x:c>
      <x:c r="B325" s="64"/>
      <x:c r="C325" s="68" t="str">
        <x:f>IF(B325="","",IFERROR(INDEX(Planos_Contratos!$B$4:$B$203,MATCH(B325,Planos_Contratos!$A$4:$A$203,0)),""))</x:f>
      </x:c>
      <x:c r="D325" s="68" t="str">
        <x:f>IF(B325="","",IFERROR(INDEX(Planos_Contratos!$C$4:$C$203,MATCH(B325,Planos_Contratos!$A$4:$A$203,0)),""))</x:f>
      </x:c>
      <x:c r="E325" s="72"/>
      <x:c r="F325" s="72"/>
      <x:c r="G325" s="92" t="str">
        <x:f>IF(B325="","",IFERROR(INDEX(Planos_Contratos!$L$4:$L$203,MATCH(B325,Planos_Contratos!$A$4:$A$203,0))/MAX(1,INDEX(Planos_Contratos!$M$4:$M$203,MATCH(B325,Planos_Contratos!$A$4:$A$203,0))),""))</x:f>
      </x:c>
      <x:c r="H325" s="112"/>
      <x:c r="I325" s="92" t="str">
        <x:f t="shared" si="11"/>
      </x:c>
      <x:c r="J325" s="68" t="str">
        <x:f>IF(B325="","",IFERROR(INDEX(Planos_Contratos!$I$4:$I$203,MATCH(B325,Planos_Contratos!$A$4:$A$203,0)),""))</x:f>
      </x:c>
      <x:c r="K325" s="70"/>
      <x:c r="L325" s="96" t="str">
        <x:f>IF(B325="","",IFERROR(INDEX(Planos_Contratos!$M$4:$M$203,MATCH(B325,Planos_Contratos!$A$4:$A$203,0)),""))</x:f>
      </x:c>
      <x:c r="M325" s="64"/>
    </x:row>
    <x:row r="326" ht="20" customHeight="1">
      <x:c r="A326" s="68" t="str">
        <x:f t="shared" si="10"/>
      </x:c>
      <x:c r="B326" s="64"/>
      <x:c r="C326" s="68" t="str">
        <x:f>IF(B326="","",IFERROR(INDEX(Planos_Contratos!$B$4:$B$203,MATCH(B326,Planos_Contratos!$A$4:$A$203,0)),""))</x:f>
      </x:c>
      <x:c r="D326" s="68" t="str">
        <x:f>IF(B326="","",IFERROR(INDEX(Planos_Contratos!$C$4:$C$203,MATCH(B326,Planos_Contratos!$A$4:$A$203,0)),""))</x:f>
      </x:c>
      <x:c r="E326" s="72"/>
      <x:c r="F326" s="72"/>
      <x:c r="G326" s="92" t="str">
        <x:f>IF(B326="","",IFERROR(INDEX(Planos_Contratos!$L$4:$L$203,MATCH(B326,Planos_Contratos!$A$4:$A$203,0))/MAX(1,INDEX(Planos_Contratos!$M$4:$M$203,MATCH(B326,Planos_Contratos!$A$4:$A$203,0))),""))</x:f>
      </x:c>
      <x:c r="H326" s="112"/>
      <x:c r="I326" s="92" t="str">
        <x:f t="shared" si="11"/>
      </x:c>
      <x:c r="J326" s="68" t="str">
        <x:f>IF(B326="","",IFERROR(INDEX(Planos_Contratos!$I$4:$I$203,MATCH(B326,Planos_Contratos!$A$4:$A$203,0)),""))</x:f>
      </x:c>
      <x:c r="K326" s="70"/>
      <x:c r="L326" s="96" t="str">
        <x:f>IF(B326="","",IFERROR(INDEX(Planos_Contratos!$M$4:$M$203,MATCH(B326,Planos_Contratos!$A$4:$A$203,0)),""))</x:f>
      </x:c>
      <x:c r="M326" s="64"/>
    </x:row>
    <x:row r="327" ht="20" customHeight="1">
      <x:c r="A327" s="68" t="str">
        <x:f t="shared" si="10"/>
      </x:c>
      <x:c r="B327" s="64"/>
      <x:c r="C327" s="68" t="str">
        <x:f>IF(B327="","",IFERROR(INDEX(Planos_Contratos!$B$4:$B$203,MATCH(B327,Planos_Contratos!$A$4:$A$203,0)),""))</x:f>
      </x:c>
      <x:c r="D327" s="68" t="str">
        <x:f>IF(B327="","",IFERROR(INDEX(Planos_Contratos!$C$4:$C$203,MATCH(B327,Planos_Contratos!$A$4:$A$203,0)),""))</x:f>
      </x:c>
      <x:c r="E327" s="72"/>
      <x:c r="F327" s="72"/>
      <x:c r="G327" s="92" t="str">
        <x:f>IF(B327="","",IFERROR(INDEX(Planos_Contratos!$L$4:$L$203,MATCH(B327,Planos_Contratos!$A$4:$A$203,0))/MAX(1,INDEX(Planos_Contratos!$M$4:$M$203,MATCH(B327,Planos_Contratos!$A$4:$A$203,0))),""))</x:f>
      </x:c>
      <x:c r="H327" s="112"/>
      <x:c r="I327" s="92" t="str">
        <x:f t="shared" si="11"/>
      </x:c>
      <x:c r="J327" s="68" t="str">
        <x:f>IF(B327="","",IFERROR(INDEX(Planos_Contratos!$I$4:$I$203,MATCH(B327,Planos_Contratos!$A$4:$A$203,0)),""))</x:f>
      </x:c>
      <x:c r="K327" s="70"/>
      <x:c r="L327" s="96" t="str">
        <x:f>IF(B327="","",IFERROR(INDEX(Planos_Contratos!$M$4:$M$203,MATCH(B327,Planos_Contratos!$A$4:$A$203,0)),""))</x:f>
      </x:c>
      <x:c r="M327" s="64"/>
    </x:row>
    <x:row r="328" ht="20" customHeight="1">
      <x:c r="A328" s="68" t="str">
        <x:f t="shared" si="10"/>
      </x:c>
      <x:c r="B328" s="64"/>
      <x:c r="C328" s="68" t="str">
        <x:f>IF(B328="","",IFERROR(INDEX(Planos_Contratos!$B$4:$B$203,MATCH(B328,Planos_Contratos!$A$4:$A$203,0)),""))</x:f>
      </x:c>
      <x:c r="D328" s="68" t="str">
        <x:f>IF(B328="","",IFERROR(INDEX(Planos_Contratos!$C$4:$C$203,MATCH(B328,Planos_Contratos!$A$4:$A$203,0)),""))</x:f>
      </x:c>
      <x:c r="E328" s="72"/>
      <x:c r="F328" s="72"/>
      <x:c r="G328" s="92" t="str">
        <x:f>IF(B328="","",IFERROR(INDEX(Planos_Contratos!$L$4:$L$203,MATCH(B328,Planos_Contratos!$A$4:$A$203,0))/MAX(1,INDEX(Planos_Contratos!$M$4:$M$203,MATCH(B328,Planos_Contratos!$A$4:$A$203,0))),""))</x:f>
      </x:c>
      <x:c r="H328" s="112"/>
      <x:c r="I328" s="92" t="str">
        <x:f t="shared" si="11"/>
      </x:c>
      <x:c r="J328" s="68" t="str">
        <x:f>IF(B328="","",IFERROR(INDEX(Planos_Contratos!$I$4:$I$203,MATCH(B328,Planos_Contratos!$A$4:$A$203,0)),""))</x:f>
      </x:c>
      <x:c r="K328" s="70"/>
      <x:c r="L328" s="96" t="str">
        <x:f>IF(B328="","",IFERROR(INDEX(Planos_Contratos!$M$4:$M$203,MATCH(B328,Planos_Contratos!$A$4:$A$203,0)),""))</x:f>
      </x:c>
      <x:c r="M328" s="64"/>
    </x:row>
    <x:row r="329" ht="20" customHeight="1">
      <x:c r="A329" s="68" t="str">
        <x:f t="shared" si="10"/>
      </x:c>
      <x:c r="B329" s="64"/>
      <x:c r="C329" s="68" t="str">
        <x:f>IF(B329="","",IFERROR(INDEX(Planos_Contratos!$B$4:$B$203,MATCH(B329,Planos_Contratos!$A$4:$A$203,0)),""))</x:f>
      </x:c>
      <x:c r="D329" s="68" t="str">
        <x:f>IF(B329="","",IFERROR(INDEX(Planos_Contratos!$C$4:$C$203,MATCH(B329,Planos_Contratos!$A$4:$A$203,0)),""))</x:f>
      </x:c>
      <x:c r="E329" s="72"/>
      <x:c r="F329" s="72"/>
      <x:c r="G329" s="92" t="str">
        <x:f>IF(B329="","",IFERROR(INDEX(Planos_Contratos!$L$4:$L$203,MATCH(B329,Planos_Contratos!$A$4:$A$203,0))/MAX(1,INDEX(Planos_Contratos!$M$4:$M$203,MATCH(B329,Planos_Contratos!$A$4:$A$203,0))),""))</x:f>
      </x:c>
      <x:c r="H329" s="112"/>
      <x:c r="I329" s="92" t="str">
        <x:f t="shared" si="11"/>
      </x:c>
      <x:c r="J329" s="68" t="str">
        <x:f>IF(B329="","",IFERROR(INDEX(Planos_Contratos!$I$4:$I$203,MATCH(B329,Planos_Contratos!$A$4:$A$203,0)),""))</x:f>
      </x:c>
      <x:c r="K329" s="70"/>
      <x:c r="L329" s="96" t="str">
        <x:f>IF(B329="","",IFERROR(INDEX(Planos_Contratos!$M$4:$M$203,MATCH(B329,Planos_Contratos!$A$4:$A$203,0)),""))</x:f>
      </x:c>
      <x:c r="M329" s="64"/>
    </x:row>
    <x:row r="330" ht="20" customHeight="1">
      <x:c r="A330" s="68" t="str">
        <x:f t="shared" si="10"/>
      </x:c>
      <x:c r="B330" s="64"/>
      <x:c r="C330" s="68" t="str">
        <x:f>IF(B330="","",IFERROR(INDEX(Planos_Contratos!$B$4:$B$203,MATCH(B330,Planos_Contratos!$A$4:$A$203,0)),""))</x:f>
      </x:c>
      <x:c r="D330" s="68" t="str">
        <x:f>IF(B330="","",IFERROR(INDEX(Planos_Contratos!$C$4:$C$203,MATCH(B330,Planos_Contratos!$A$4:$A$203,0)),""))</x:f>
      </x:c>
      <x:c r="E330" s="72"/>
      <x:c r="F330" s="72"/>
      <x:c r="G330" s="92" t="str">
        <x:f>IF(B330="","",IFERROR(INDEX(Planos_Contratos!$L$4:$L$203,MATCH(B330,Planos_Contratos!$A$4:$A$203,0))/MAX(1,INDEX(Planos_Contratos!$M$4:$M$203,MATCH(B330,Planos_Contratos!$A$4:$A$203,0))),""))</x:f>
      </x:c>
      <x:c r="H330" s="112"/>
      <x:c r="I330" s="92" t="str">
        <x:f t="shared" si="11"/>
      </x:c>
      <x:c r="J330" s="68" t="str">
        <x:f>IF(B330="","",IFERROR(INDEX(Planos_Contratos!$I$4:$I$203,MATCH(B330,Planos_Contratos!$A$4:$A$203,0)),""))</x:f>
      </x:c>
      <x:c r="K330" s="70"/>
      <x:c r="L330" s="96" t="str">
        <x:f>IF(B330="","",IFERROR(INDEX(Planos_Contratos!$M$4:$M$203,MATCH(B330,Planos_Contratos!$A$4:$A$203,0)),""))</x:f>
      </x:c>
      <x:c r="M330" s="64"/>
    </x:row>
    <x:row r="331" ht="20" customHeight="1">
      <x:c r="A331" s="68" t="str">
        <x:f t="shared" si="10"/>
      </x:c>
      <x:c r="B331" s="64"/>
      <x:c r="C331" s="68" t="str">
        <x:f>IF(B331="","",IFERROR(INDEX(Planos_Contratos!$B$4:$B$203,MATCH(B331,Planos_Contratos!$A$4:$A$203,0)),""))</x:f>
      </x:c>
      <x:c r="D331" s="68" t="str">
        <x:f>IF(B331="","",IFERROR(INDEX(Planos_Contratos!$C$4:$C$203,MATCH(B331,Planos_Contratos!$A$4:$A$203,0)),""))</x:f>
      </x:c>
      <x:c r="E331" s="72"/>
      <x:c r="F331" s="72"/>
      <x:c r="G331" s="92" t="str">
        <x:f>IF(B331="","",IFERROR(INDEX(Planos_Contratos!$L$4:$L$203,MATCH(B331,Planos_Contratos!$A$4:$A$203,0))/MAX(1,INDEX(Planos_Contratos!$M$4:$M$203,MATCH(B331,Planos_Contratos!$A$4:$A$203,0))),""))</x:f>
      </x:c>
      <x:c r="H331" s="112"/>
      <x:c r="I331" s="92" t="str">
        <x:f t="shared" si="11"/>
      </x:c>
      <x:c r="J331" s="68" t="str">
        <x:f>IF(B331="","",IFERROR(INDEX(Planos_Contratos!$I$4:$I$203,MATCH(B331,Planos_Contratos!$A$4:$A$203,0)),""))</x:f>
      </x:c>
      <x:c r="K331" s="70"/>
      <x:c r="L331" s="96" t="str">
        <x:f>IF(B331="","",IFERROR(INDEX(Planos_Contratos!$M$4:$M$203,MATCH(B331,Planos_Contratos!$A$4:$A$203,0)),""))</x:f>
      </x:c>
      <x:c r="M331" s="64"/>
    </x:row>
    <x:row r="332" ht="20" customHeight="1">
      <x:c r="A332" s="68" t="str">
        <x:f t="shared" si="10"/>
      </x:c>
      <x:c r="B332" s="64"/>
      <x:c r="C332" s="68" t="str">
        <x:f>IF(B332="","",IFERROR(INDEX(Planos_Contratos!$B$4:$B$203,MATCH(B332,Planos_Contratos!$A$4:$A$203,0)),""))</x:f>
      </x:c>
      <x:c r="D332" s="68" t="str">
        <x:f>IF(B332="","",IFERROR(INDEX(Planos_Contratos!$C$4:$C$203,MATCH(B332,Planos_Contratos!$A$4:$A$203,0)),""))</x:f>
      </x:c>
      <x:c r="E332" s="72"/>
      <x:c r="F332" s="72"/>
      <x:c r="G332" s="92" t="str">
        <x:f>IF(B332="","",IFERROR(INDEX(Planos_Contratos!$L$4:$L$203,MATCH(B332,Planos_Contratos!$A$4:$A$203,0))/MAX(1,INDEX(Planos_Contratos!$M$4:$M$203,MATCH(B332,Planos_Contratos!$A$4:$A$203,0))),""))</x:f>
      </x:c>
      <x:c r="H332" s="112"/>
      <x:c r="I332" s="92" t="str">
        <x:f t="shared" si="11"/>
      </x:c>
      <x:c r="J332" s="68" t="str">
        <x:f>IF(B332="","",IFERROR(INDEX(Planos_Contratos!$I$4:$I$203,MATCH(B332,Planos_Contratos!$A$4:$A$203,0)),""))</x:f>
      </x:c>
      <x:c r="K332" s="70"/>
      <x:c r="L332" s="96" t="str">
        <x:f>IF(B332="","",IFERROR(INDEX(Planos_Contratos!$M$4:$M$203,MATCH(B332,Planos_Contratos!$A$4:$A$203,0)),""))</x:f>
      </x:c>
      <x:c r="M332" s="64"/>
    </x:row>
    <x:row r="333" ht="20" customHeight="1">
      <x:c r="A333" s="68" t="str">
        <x:f t="shared" si="10"/>
      </x:c>
      <x:c r="B333" s="64"/>
      <x:c r="C333" s="68" t="str">
        <x:f>IF(B333="","",IFERROR(INDEX(Planos_Contratos!$B$4:$B$203,MATCH(B333,Planos_Contratos!$A$4:$A$203,0)),""))</x:f>
      </x:c>
      <x:c r="D333" s="68" t="str">
        <x:f>IF(B333="","",IFERROR(INDEX(Planos_Contratos!$C$4:$C$203,MATCH(B333,Planos_Contratos!$A$4:$A$203,0)),""))</x:f>
      </x:c>
      <x:c r="E333" s="72"/>
      <x:c r="F333" s="72"/>
      <x:c r="G333" s="92" t="str">
        <x:f>IF(B333="","",IFERROR(INDEX(Planos_Contratos!$L$4:$L$203,MATCH(B333,Planos_Contratos!$A$4:$A$203,0))/MAX(1,INDEX(Planos_Contratos!$M$4:$M$203,MATCH(B333,Planos_Contratos!$A$4:$A$203,0))),""))</x:f>
      </x:c>
      <x:c r="H333" s="112"/>
      <x:c r="I333" s="92" t="str">
        <x:f t="shared" si="11"/>
      </x:c>
      <x:c r="J333" s="68" t="str">
        <x:f>IF(B333="","",IFERROR(INDEX(Planos_Contratos!$I$4:$I$203,MATCH(B333,Planos_Contratos!$A$4:$A$203,0)),""))</x:f>
      </x:c>
      <x:c r="K333" s="70"/>
      <x:c r="L333" s="96" t="str">
        <x:f>IF(B333="","",IFERROR(INDEX(Planos_Contratos!$M$4:$M$203,MATCH(B333,Planos_Contratos!$A$4:$A$203,0)),""))</x:f>
      </x:c>
      <x:c r="M333" s="64"/>
    </x:row>
    <x:row r="334" ht="20" customHeight="1">
      <x:c r="A334" s="68" t="str">
        <x:f t="shared" si="10"/>
      </x:c>
      <x:c r="B334" s="64"/>
      <x:c r="C334" s="68" t="str">
        <x:f>IF(B334="","",IFERROR(INDEX(Planos_Contratos!$B$4:$B$203,MATCH(B334,Planos_Contratos!$A$4:$A$203,0)),""))</x:f>
      </x:c>
      <x:c r="D334" s="68" t="str">
        <x:f>IF(B334="","",IFERROR(INDEX(Planos_Contratos!$C$4:$C$203,MATCH(B334,Planos_Contratos!$A$4:$A$203,0)),""))</x:f>
      </x:c>
      <x:c r="E334" s="72"/>
      <x:c r="F334" s="72"/>
      <x:c r="G334" s="92" t="str">
        <x:f>IF(B334="","",IFERROR(INDEX(Planos_Contratos!$L$4:$L$203,MATCH(B334,Planos_Contratos!$A$4:$A$203,0))/MAX(1,INDEX(Planos_Contratos!$M$4:$M$203,MATCH(B334,Planos_Contratos!$A$4:$A$203,0))),""))</x:f>
      </x:c>
      <x:c r="H334" s="112"/>
      <x:c r="I334" s="92" t="str">
        <x:f t="shared" si="11"/>
      </x:c>
      <x:c r="J334" s="68" t="str">
        <x:f>IF(B334="","",IFERROR(INDEX(Planos_Contratos!$I$4:$I$203,MATCH(B334,Planos_Contratos!$A$4:$A$203,0)),""))</x:f>
      </x:c>
      <x:c r="K334" s="70"/>
      <x:c r="L334" s="96" t="str">
        <x:f>IF(B334="","",IFERROR(INDEX(Planos_Contratos!$M$4:$M$203,MATCH(B334,Planos_Contratos!$A$4:$A$203,0)),""))</x:f>
      </x:c>
      <x:c r="M334" s="64"/>
    </x:row>
    <x:row r="335" ht="20" customHeight="1">
      <x:c r="A335" s="68" t="str">
        <x:f t="shared" si="10"/>
      </x:c>
      <x:c r="B335" s="64"/>
      <x:c r="C335" s="68" t="str">
        <x:f>IF(B335="","",IFERROR(INDEX(Planos_Contratos!$B$4:$B$203,MATCH(B335,Planos_Contratos!$A$4:$A$203,0)),""))</x:f>
      </x:c>
      <x:c r="D335" s="68" t="str">
        <x:f>IF(B335="","",IFERROR(INDEX(Planos_Contratos!$C$4:$C$203,MATCH(B335,Planos_Contratos!$A$4:$A$203,0)),""))</x:f>
      </x:c>
      <x:c r="E335" s="72"/>
      <x:c r="F335" s="72"/>
      <x:c r="G335" s="92" t="str">
        <x:f>IF(B335="","",IFERROR(INDEX(Planos_Contratos!$L$4:$L$203,MATCH(B335,Planos_Contratos!$A$4:$A$203,0))/MAX(1,INDEX(Planos_Contratos!$M$4:$M$203,MATCH(B335,Planos_Contratos!$A$4:$A$203,0))),""))</x:f>
      </x:c>
      <x:c r="H335" s="112"/>
      <x:c r="I335" s="92" t="str">
        <x:f t="shared" si="11"/>
      </x:c>
      <x:c r="J335" s="68" t="str">
        <x:f>IF(B335="","",IFERROR(INDEX(Planos_Contratos!$I$4:$I$203,MATCH(B335,Planos_Contratos!$A$4:$A$203,0)),""))</x:f>
      </x:c>
      <x:c r="K335" s="70"/>
      <x:c r="L335" s="96" t="str">
        <x:f>IF(B335="","",IFERROR(INDEX(Planos_Contratos!$M$4:$M$203,MATCH(B335,Planos_Contratos!$A$4:$A$203,0)),""))</x:f>
      </x:c>
      <x:c r="M335" s="64"/>
    </x:row>
    <x:row r="336" ht="20" customHeight="1">
      <x:c r="A336" s="68" t="str">
        <x:f t="shared" si="10"/>
      </x:c>
      <x:c r="B336" s="64"/>
      <x:c r="C336" s="68" t="str">
        <x:f>IF(B336="","",IFERROR(INDEX(Planos_Contratos!$B$4:$B$203,MATCH(B336,Planos_Contratos!$A$4:$A$203,0)),""))</x:f>
      </x:c>
      <x:c r="D336" s="68" t="str">
        <x:f>IF(B336="","",IFERROR(INDEX(Planos_Contratos!$C$4:$C$203,MATCH(B336,Planos_Contratos!$A$4:$A$203,0)),""))</x:f>
      </x:c>
      <x:c r="E336" s="72"/>
      <x:c r="F336" s="72"/>
      <x:c r="G336" s="92" t="str">
        <x:f>IF(B336="","",IFERROR(INDEX(Planos_Contratos!$L$4:$L$203,MATCH(B336,Planos_Contratos!$A$4:$A$203,0))/MAX(1,INDEX(Planos_Contratos!$M$4:$M$203,MATCH(B336,Planos_Contratos!$A$4:$A$203,0))),""))</x:f>
      </x:c>
      <x:c r="H336" s="112"/>
      <x:c r="I336" s="92" t="str">
        <x:f t="shared" si="11"/>
      </x:c>
      <x:c r="J336" s="68" t="str">
        <x:f>IF(B336="","",IFERROR(INDEX(Planos_Contratos!$I$4:$I$203,MATCH(B336,Planos_Contratos!$A$4:$A$203,0)),""))</x:f>
      </x:c>
      <x:c r="K336" s="70"/>
      <x:c r="L336" s="96" t="str">
        <x:f>IF(B336="","",IFERROR(INDEX(Planos_Contratos!$M$4:$M$203,MATCH(B336,Planos_Contratos!$A$4:$A$203,0)),""))</x:f>
      </x:c>
      <x:c r="M336" s="64"/>
    </x:row>
    <x:row r="337" ht="20" customHeight="1">
      <x:c r="A337" s="68" t="str">
        <x:f t="shared" si="10"/>
      </x:c>
      <x:c r="B337" s="64"/>
      <x:c r="C337" s="68" t="str">
        <x:f>IF(B337="","",IFERROR(INDEX(Planos_Contratos!$B$4:$B$203,MATCH(B337,Planos_Contratos!$A$4:$A$203,0)),""))</x:f>
      </x:c>
      <x:c r="D337" s="68" t="str">
        <x:f>IF(B337="","",IFERROR(INDEX(Planos_Contratos!$C$4:$C$203,MATCH(B337,Planos_Contratos!$A$4:$A$203,0)),""))</x:f>
      </x:c>
      <x:c r="E337" s="72"/>
      <x:c r="F337" s="72"/>
      <x:c r="G337" s="92" t="str">
        <x:f>IF(B337="","",IFERROR(INDEX(Planos_Contratos!$L$4:$L$203,MATCH(B337,Planos_Contratos!$A$4:$A$203,0))/MAX(1,INDEX(Planos_Contratos!$M$4:$M$203,MATCH(B337,Planos_Contratos!$A$4:$A$203,0))),""))</x:f>
      </x:c>
      <x:c r="H337" s="112"/>
      <x:c r="I337" s="92" t="str">
        <x:f t="shared" si="11"/>
      </x:c>
      <x:c r="J337" s="68" t="str">
        <x:f>IF(B337="","",IFERROR(INDEX(Planos_Contratos!$I$4:$I$203,MATCH(B337,Planos_Contratos!$A$4:$A$203,0)),""))</x:f>
      </x:c>
      <x:c r="K337" s="70"/>
      <x:c r="L337" s="96" t="str">
        <x:f>IF(B337="","",IFERROR(INDEX(Planos_Contratos!$M$4:$M$203,MATCH(B337,Planos_Contratos!$A$4:$A$203,0)),""))</x:f>
      </x:c>
      <x:c r="M337" s="64"/>
    </x:row>
    <x:row r="338" ht="20" customHeight="1">
      <x:c r="A338" s="68" t="str">
        <x:f t="shared" si="10"/>
      </x:c>
      <x:c r="B338" s="64"/>
      <x:c r="C338" s="68" t="str">
        <x:f>IF(B338="","",IFERROR(INDEX(Planos_Contratos!$B$4:$B$203,MATCH(B338,Planos_Contratos!$A$4:$A$203,0)),""))</x:f>
      </x:c>
      <x:c r="D338" s="68" t="str">
        <x:f>IF(B338="","",IFERROR(INDEX(Planos_Contratos!$C$4:$C$203,MATCH(B338,Planos_Contratos!$A$4:$A$203,0)),""))</x:f>
      </x:c>
      <x:c r="E338" s="72"/>
      <x:c r="F338" s="72"/>
      <x:c r="G338" s="92" t="str">
        <x:f>IF(B338="","",IFERROR(INDEX(Planos_Contratos!$L$4:$L$203,MATCH(B338,Planos_Contratos!$A$4:$A$203,0))/MAX(1,INDEX(Planos_Contratos!$M$4:$M$203,MATCH(B338,Planos_Contratos!$A$4:$A$203,0))),""))</x:f>
      </x:c>
      <x:c r="H338" s="112"/>
      <x:c r="I338" s="92" t="str">
        <x:f t="shared" si="11"/>
      </x:c>
      <x:c r="J338" s="68" t="str">
        <x:f>IF(B338="","",IFERROR(INDEX(Planos_Contratos!$I$4:$I$203,MATCH(B338,Planos_Contratos!$A$4:$A$203,0)),""))</x:f>
      </x:c>
      <x:c r="K338" s="70"/>
      <x:c r="L338" s="96" t="str">
        <x:f>IF(B338="","",IFERROR(INDEX(Planos_Contratos!$M$4:$M$203,MATCH(B338,Planos_Contratos!$A$4:$A$203,0)),""))</x:f>
      </x:c>
      <x:c r="M338" s="64"/>
    </x:row>
    <x:row r="339" ht="20" customHeight="1">
      <x:c r="A339" s="68" t="str">
        <x:f t="shared" si="10"/>
      </x:c>
      <x:c r="B339" s="64"/>
      <x:c r="C339" s="68" t="str">
        <x:f>IF(B339="","",IFERROR(INDEX(Planos_Contratos!$B$4:$B$203,MATCH(B339,Planos_Contratos!$A$4:$A$203,0)),""))</x:f>
      </x:c>
      <x:c r="D339" s="68" t="str">
        <x:f>IF(B339="","",IFERROR(INDEX(Planos_Contratos!$C$4:$C$203,MATCH(B339,Planos_Contratos!$A$4:$A$203,0)),""))</x:f>
      </x:c>
      <x:c r="E339" s="72"/>
      <x:c r="F339" s="72"/>
      <x:c r="G339" s="92" t="str">
        <x:f>IF(B339="","",IFERROR(INDEX(Planos_Contratos!$L$4:$L$203,MATCH(B339,Planos_Contratos!$A$4:$A$203,0))/MAX(1,INDEX(Planos_Contratos!$M$4:$M$203,MATCH(B339,Planos_Contratos!$A$4:$A$203,0))),""))</x:f>
      </x:c>
      <x:c r="H339" s="112"/>
      <x:c r="I339" s="92" t="str">
        <x:f t="shared" si="11"/>
      </x:c>
      <x:c r="J339" s="68" t="str">
        <x:f>IF(B339="","",IFERROR(INDEX(Planos_Contratos!$I$4:$I$203,MATCH(B339,Planos_Contratos!$A$4:$A$203,0)),""))</x:f>
      </x:c>
      <x:c r="K339" s="70"/>
      <x:c r="L339" s="96" t="str">
        <x:f>IF(B339="","",IFERROR(INDEX(Planos_Contratos!$M$4:$M$203,MATCH(B339,Planos_Contratos!$A$4:$A$203,0)),""))</x:f>
      </x:c>
      <x:c r="M339" s="64"/>
    </x:row>
    <x:row r="340" ht="20" customHeight="1">
      <x:c r="A340" s="68" t="str">
        <x:f t="shared" si="10"/>
      </x:c>
      <x:c r="B340" s="64"/>
      <x:c r="C340" s="68" t="str">
        <x:f>IF(B340="","",IFERROR(INDEX(Planos_Contratos!$B$4:$B$203,MATCH(B340,Planos_Contratos!$A$4:$A$203,0)),""))</x:f>
      </x:c>
      <x:c r="D340" s="68" t="str">
        <x:f>IF(B340="","",IFERROR(INDEX(Planos_Contratos!$C$4:$C$203,MATCH(B340,Planos_Contratos!$A$4:$A$203,0)),""))</x:f>
      </x:c>
      <x:c r="E340" s="72"/>
      <x:c r="F340" s="72"/>
      <x:c r="G340" s="92" t="str">
        <x:f>IF(B340="","",IFERROR(INDEX(Planos_Contratos!$L$4:$L$203,MATCH(B340,Planos_Contratos!$A$4:$A$203,0))/MAX(1,INDEX(Planos_Contratos!$M$4:$M$203,MATCH(B340,Planos_Contratos!$A$4:$A$203,0))),""))</x:f>
      </x:c>
      <x:c r="H340" s="112"/>
      <x:c r="I340" s="92" t="str">
        <x:f t="shared" si="11"/>
      </x:c>
      <x:c r="J340" s="68" t="str">
        <x:f>IF(B340="","",IFERROR(INDEX(Planos_Contratos!$I$4:$I$203,MATCH(B340,Planos_Contratos!$A$4:$A$203,0)),""))</x:f>
      </x:c>
      <x:c r="K340" s="70"/>
      <x:c r="L340" s="96" t="str">
        <x:f>IF(B340="","",IFERROR(INDEX(Planos_Contratos!$M$4:$M$203,MATCH(B340,Planos_Contratos!$A$4:$A$203,0)),""))</x:f>
      </x:c>
      <x:c r="M340" s="64"/>
    </x:row>
    <x:row r="341" ht="20" customHeight="1">
      <x:c r="A341" s="68" t="str">
        <x:f t="shared" si="10"/>
      </x:c>
      <x:c r="B341" s="64"/>
      <x:c r="C341" s="68" t="str">
        <x:f>IF(B341="","",IFERROR(INDEX(Planos_Contratos!$B$4:$B$203,MATCH(B341,Planos_Contratos!$A$4:$A$203,0)),""))</x:f>
      </x:c>
      <x:c r="D341" s="68" t="str">
        <x:f>IF(B341="","",IFERROR(INDEX(Planos_Contratos!$C$4:$C$203,MATCH(B341,Planos_Contratos!$A$4:$A$203,0)),""))</x:f>
      </x:c>
      <x:c r="E341" s="72"/>
      <x:c r="F341" s="72"/>
      <x:c r="G341" s="92" t="str">
        <x:f>IF(B341="","",IFERROR(INDEX(Planos_Contratos!$L$4:$L$203,MATCH(B341,Planos_Contratos!$A$4:$A$203,0))/MAX(1,INDEX(Planos_Contratos!$M$4:$M$203,MATCH(B341,Planos_Contratos!$A$4:$A$203,0))),""))</x:f>
      </x:c>
      <x:c r="H341" s="112"/>
      <x:c r="I341" s="92" t="str">
        <x:f t="shared" si="11"/>
      </x:c>
      <x:c r="J341" s="68" t="str">
        <x:f>IF(B341="","",IFERROR(INDEX(Planos_Contratos!$I$4:$I$203,MATCH(B341,Planos_Contratos!$A$4:$A$203,0)),""))</x:f>
      </x:c>
      <x:c r="K341" s="70"/>
      <x:c r="L341" s="96" t="str">
        <x:f>IF(B341="","",IFERROR(INDEX(Planos_Contratos!$M$4:$M$203,MATCH(B341,Planos_Contratos!$A$4:$A$203,0)),""))</x:f>
      </x:c>
      <x:c r="M341" s="64"/>
    </x:row>
    <x:row r="342" ht="20" customHeight="1">
      <x:c r="A342" s="68" t="str">
        <x:f t="shared" si="10"/>
      </x:c>
      <x:c r="B342" s="64"/>
      <x:c r="C342" s="68" t="str">
        <x:f>IF(B342="","",IFERROR(INDEX(Planos_Contratos!$B$4:$B$203,MATCH(B342,Planos_Contratos!$A$4:$A$203,0)),""))</x:f>
      </x:c>
      <x:c r="D342" s="68" t="str">
        <x:f>IF(B342="","",IFERROR(INDEX(Planos_Contratos!$C$4:$C$203,MATCH(B342,Planos_Contratos!$A$4:$A$203,0)),""))</x:f>
      </x:c>
      <x:c r="E342" s="72"/>
      <x:c r="F342" s="72"/>
      <x:c r="G342" s="92" t="str">
        <x:f>IF(B342="","",IFERROR(INDEX(Planos_Contratos!$L$4:$L$203,MATCH(B342,Planos_Contratos!$A$4:$A$203,0))/MAX(1,INDEX(Planos_Contratos!$M$4:$M$203,MATCH(B342,Planos_Contratos!$A$4:$A$203,0))),""))</x:f>
      </x:c>
      <x:c r="H342" s="112"/>
      <x:c r="I342" s="92" t="str">
        <x:f t="shared" si="11"/>
      </x:c>
      <x:c r="J342" s="68" t="str">
        <x:f>IF(B342="","",IFERROR(INDEX(Planos_Contratos!$I$4:$I$203,MATCH(B342,Planos_Contratos!$A$4:$A$203,0)),""))</x:f>
      </x:c>
      <x:c r="K342" s="70"/>
      <x:c r="L342" s="96" t="str">
        <x:f>IF(B342="","",IFERROR(INDEX(Planos_Contratos!$M$4:$M$203,MATCH(B342,Planos_Contratos!$A$4:$A$203,0)),""))</x:f>
      </x:c>
      <x:c r="M342" s="64"/>
    </x:row>
    <x:row r="343" ht="20" customHeight="1">
      <x:c r="A343" s="68" t="str">
        <x:f t="shared" si="10"/>
      </x:c>
      <x:c r="B343" s="64"/>
      <x:c r="C343" s="68" t="str">
        <x:f>IF(B343="","",IFERROR(INDEX(Planos_Contratos!$B$4:$B$203,MATCH(B343,Planos_Contratos!$A$4:$A$203,0)),""))</x:f>
      </x:c>
      <x:c r="D343" s="68" t="str">
        <x:f>IF(B343="","",IFERROR(INDEX(Planos_Contratos!$C$4:$C$203,MATCH(B343,Planos_Contratos!$A$4:$A$203,0)),""))</x:f>
      </x:c>
      <x:c r="E343" s="72"/>
      <x:c r="F343" s="72"/>
      <x:c r="G343" s="92" t="str">
        <x:f>IF(B343="","",IFERROR(INDEX(Planos_Contratos!$L$4:$L$203,MATCH(B343,Planos_Contratos!$A$4:$A$203,0))/MAX(1,INDEX(Planos_Contratos!$M$4:$M$203,MATCH(B343,Planos_Contratos!$A$4:$A$203,0))),""))</x:f>
      </x:c>
      <x:c r="H343" s="112"/>
      <x:c r="I343" s="92" t="str">
        <x:f t="shared" si="11"/>
      </x:c>
      <x:c r="J343" s="68" t="str">
        <x:f>IF(B343="","",IFERROR(INDEX(Planos_Contratos!$I$4:$I$203,MATCH(B343,Planos_Contratos!$A$4:$A$203,0)),""))</x:f>
      </x:c>
      <x:c r="K343" s="70"/>
      <x:c r="L343" s="96" t="str">
        <x:f>IF(B343="","",IFERROR(INDEX(Planos_Contratos!$M$4:$M$203,MATCH(B343,Planos_Contratos!$A$4:$A$203,0)),""))</x:f>
      </x:c>
      <x:c r="M343" s="64"/>
    </x:row>
    <x:row r="344" ht="20" customHeight="1">
      <x:c r="A344" s="68" t="str">
        <x:f t="shared" si="10"/>
      </x:c>
      <x:c r="B344" s="64"/>
      <x:c r="C344" s="68" t="str">
        <x:f>IF(B344="","",IFERROR(INDEX(Planos_Contratos!$B$4:$B$203,MATCH(B344,Planos_Contratos!$A$4:$A$203,0)),""))</x:f>
      </x:c>
      <x:c r="D344" s="68" t="str">
        <x:f>IF(B344="","",IFERROR(INDEX(Planos_Contratos!$C$4:$C$203,MATCH(B344,Planos_Contratos!$A$4:$A$203,0)),""))</x:f>
      </x:c>
      <x:c r="E344" s="72"/>
      <x:c r="F344" s="72"/>
      <x:c r="G344" s="92" t="str">
        <x:f>IF(B344="","",IFERROR(INDEX(Planos_Contratos!$L$4:$L$203,MATCH(B344,Planos_Contratos!$A$4:$A$203,0))/MAX(1,INDEX(Planos_Contratos!$M$4:$M$203,MATCH(B344,Planos_Contratos!$A$4:$A$203,0))),""))</x:f>
      </x:c>
      <x:c r="H344" s="112"/>
      <x:c r="I344" s="92" t="str">
        <x:f t="shared" si="11"/>
      </x:c>
      <x:c r="J344" s="68" t="str">
        <x:f>IF(B344="","",IFERROR(INDEX(Planos_Contratos!$I$4:$I$203,MATCH(B344,Planos_Contratos!$A$4:$A$203,0)),""))</x:f>
      </x:c>
      <x:c r="K344" s="70"/>
      <x:c r="L344" s="96" t="str">
        <x:f>IF(B344="","",IFERROR(INDEX(Planos_Contratos!$M$4:$M$203,MATCH(B344,Planos_Contratos!$A$4:$A$203,0)),""))</x:f>
      </x:c>
      <x:c r="M344" s="64"/>
    </x:row>
    <x:row r="345" ht="20" customHeight="1">
      <x:c r="A345" s="68" t="str">
        <x:f t="shared" si="10"/>
      </x:c>
      <x:c r="B345" s="64"/>
      <x:c r="C345" s="68" t="str">
        <x:f>IF(B345="","",IFERROR(INDEX(Planos_Contratos!$B$4:$B$203,MATCH(B345,Planos_Contratos!$A$4:$A$203,0)),""))</x:f>
      </x:c>
      <x:c r="D345" s="68" t="str">
        <x:f>IF(B345="","",IFERROR(INDEX(Planos_Contratos!$C$4:$C$203,MATCH(B345,Planos_Contratos!$A$4:$A$203,0)),""))</x:f>
      </x:c>
      <x:c r="E345" s="72"/>
      <x:c r="F345" s="72"/>
      <x:c r="G345" s="92" t="str">
        <x:f>IF(B345="","",IFERROR(INDEX(Planos_Contratos!$L$4:$L$203,MATCH(B345,Planos_Contratos!$A$4:$A$203,0))/MAX(1,INDEX(Planos_Contratos!$M$4:$M$203,MATCH(B345,Planos_Contratos!$A$4:$A$203,0))),""))</x:f>
      </x:c>
      <x:c r="H345" s="112"/>
      <x:c r="I345" s="92" t="str">
        <x:f t="shared" si="11"/>
      </x:c>
      <x:c r="J345" s="68" t="str">
        <x:f>IF(B345="","",IFERROR(INDEX(Planos_Contratos!$I$4:$I$203,MATCH(B345,Planos_Contratos!$A$4:$A$203,0)),""))</x:f>
      </x:c>
      <x:c r="K345" s="70"/>
      <x:c r="L345" s="96" t="str">
        <x:f>IF(B345="","",IFERROR(INDEX(Planos_Contratos!$M$4:$M$203,MATCH(B345,Planos_Contratos!$A$4:$A$203,0)),""))</x:f>
      </x:c>
      <x:c r="M345" s="64"/>
    </x:row>
    <x:row r="346" ht="20" customHeight="1">
      <x:c r="A346" s="68" t="str">
        <x:f t="shared" si="10"/>
      </x:c>
      <x:c r="B346" s="64"/>
      <x:c r="C346" s="68" t="str">
        <x:f>IF(B346="","",IFERROR(INDEX(Planos_Contratos!$B$4:$B$203,MATCH(B346,Planos_Contratos!$A$4:$A$203,0)),""))</x:f>
      </x:c>
      <x:c r="D346" s="68" t="str">
        <x:f>IF(B346="","",IFERROR(INDEX(Planos_Contratos!$C$4:$C$203,MATCH(B346,Planos_Contratos!$A$4:$A$203,0)),""))</x:f>
      </x:c>
      <x:c r="E346" s="72"/>
      <x:c r="F346" s="72"/>
      <x:c r="G346" s="92" t="str">
        <x:f>IF(B346="","",IFERROR(INDEX(Planos_Contratos!$L$4:$L$203,MATCH(B346,Planos_Contratos!$A$4:$A$203,0))/MAX(1,INDEX(Planos_Contratos!$M$4:$M$203,MATCH(B346,Planos_Contratos!$A$4:$A$203,0))),""))</x:f>
      </x:c>
      <x:c r="H346" s="112"/>
      <x:c r="I346" s="92" t="str">
        <x:f t="shared" si="11"/>
      </x:c>
      <x:c r="J346" s="68" t="str">
        <x:f>IF(B346="","",IFERROR(INDEX(Planos_Contratos!$I$4:$I$203,MATCH(B346,Planos_Contratos!$A$4:$A$203,0)),""))</x:f>
      </x:c>
      <x:c r="K346" s="70"/>
      <x:c r="L346" s="96" t="str">
        <x:f>IF(B346="","",IFERROR(INDEX(Planos_Contratos!$M$4:$M$203,MATCH(B346,Planos_Contratos!$A$4:$A$203,0)),""))</x:f>
      </x:c>
      <x:c r="M346" s="64"/>
    </x:row>
    <x:row r="347" ht="20" customHeight="1">
      <x:c r="A347" s="68" t="str">
        <x:f t="shared" si="10"/>
      </x:c>
      <x:c r="B347" s="64"/>
      <x:c r="C347" s="68" t="str">
        <x:f>IF(B347="","",IFERROR(INDEX(Planos_Contratos!$B$4:$B$203,MATCH(B347,Planos_Contratos!$A$4:$A$203,0)),""))</x:f>
      </x:c>
      <x:c r="D347" s="68" t="str">
        <x:f>IF(B347="","",IFERROR(INDEX(Planos_Contratos!$C$4:$C$203,MATCH(B347,Planos_Contratos!$A$4:$A$203,0)),""))</x:f>
      </x:c>
      <x:c r="E347" s="72"/>
      <x:c r="F347" s="72"/>
      <x:c r="G347" s="92" t="str">
        <x:f>IF(B347="","",IFERROR(INDEX(Planos_Contratos!$L$4:$L$203,MATCH(B347,Planos_Contratos!$A$4:$A$203,0))/MAX(1,INDEX(Planos_Contratos!$M$4:$M$203,MATCH(B347,Planos_Contratos!$A$4:$A$203,0))),""))</x:f>
      </x:c>
      <x:c r="H347" s="112"/>
      <x:c r="I347" s="92" t="str">
        <x:f t="shared" si="11"/>
      </x:c>
      <x:c r="J347" s="68" t="str">
        <x:f>IF(B347="","",IFERROR(INDEX(Planos_Contratos!$I$4:$I$203,MATCH(B347,Planos_Contratos!$A$4:$A$203,0)),""))</x:f>
      </x:c>
      <x:c r="K347" s="70"/>
      <x:c r="L347" s="96" t="str">
        <x:f>IF(B347="","",IFERROR(INDEX(Planos_Contratos!$M$4:$M$203,MATCH(B347,Planos_Contratos!$A$4:$A$203,0)),""))</x:f>
      </x:c>
      <x:c r="M347" s="64"/>
    </x:row>
    <x:row r="348" ht="20" customHeight="1">
      <x:c r="A348" s="68" t="str">
        <x:f t="shared" si="10"/>
      </x:c>
      <x:c r="B348" s="64"/>
      <x:c r="C348" s="68" t="str">
        <x:f>IF(B348="","",IFERROR(INDEX(Planos_Contratos!$B$4:$B$203,MATCH(B348,Planos_Contratos!$A$4:$A$203,0)),""))</x:f>
      </x:c>
      <x:c r="D348" s="68" t="str">
        <x:f>IF(B348="","",IFERROR(INDEX(Planos_Contratos!$C$4:$C$203,MATCH(B348,Planos_Contratos!$A$4:$A$203,0)),""))</x:f>
      </x:c>
      <x:c r="E348" s="72"/>
      <x:c r="F348" s="72"/>
      <x:c r="G348" s="92" t="str">
        <x:f>IF(B348="","",IFERROR(INDEX(Planos_Contratos!$L$4:$L$203,MATCH(B348,Planos_Contratos!$A$4:$A$203,0))/MAX(1,INDEX(Planos_Contratos!$M$4:$M$203,MATCH(B348,Planos_Contratos!$A$4:$A$203,0))),""))</x:f>
      </x:c>
      <x:c r="H348" s="112"/>
      <x:c r="I348" s="92" t="str">
        <x:f t="shared" si="11"/>
      </x:c>
      <x:c r="J348" s="68" t="str">
        <x:f>IF(B348="","",IFERROR(INDEX(Planos_Contratos!$I$4:$I$203,MATCH(B348,Planos_Contratos!$A$4:$A$203,0)),""))</x:f>
      </x:c>
      <x:c r="K348" s="70"/>
      <x:c r="L348" s="96" t="str">
        <x:f>IF(B348="","",IFERROR(INDEX(Planos_Contratos!$M$4:$M$203,MATCH(B348,Planos_Contratos!$A$4:$A$203,0)),""))</x:f>
      </x:c>
      <x:c r="M348" s="64"/>
    </x:row>
    <x:row r="349" ht="20" customHeight="1">
      <x:c r="A349" s="68" t="str">
        <x:f t="shared" si="10"/>
      </x:c>
      <x:c r="B349" s="64"/>
      <x:c r="C349" s="68" t="str">
        <x:f>IF(B349="","",IFERROR(INDEX(Planos_Contratos!$B$4:$B$203,MATCH(B349,Planos_Contratos!$A$4:$A$203,0)),""))</x:f>
      </x:c>
      <x:c r="D349" s="68" t="str">
        <x:f>IF(B349="","",IFERROR(INDEX(Planos_Contratos!$C$4:$C$203,MATCH(B349,Planos_Contratos!$A$4:$A$203,0)),""))</x:f>
      </x:c>
      <x:c r="E349" s="72"/>
      <x:c r="F349" s="72"/>
      <x:c r="G349" s="92" t="str">
        <x:f>IF(B349="","",IFERROR(INDEX(Planos_Contratos!$L$4:$L$203,MATCH(B349,Planos_Contratos!$A$4:$A$203,0))/MAX(1,INDEX(Planos_Contratos!$M$4:$M$203,MATCH(B349,Planos_Contratos!$A$4:$A$203,0))),""))</x:f>
      </x:c>
      <x:c r="H349" s="112"/>
      <x:c r="I349" s="92" t="str">
        <x:f t="shared" si="11"/>
      </x:c>
      <x:c r="J349" s="68" t="str">
        <x:f>IF(B349="","",IFERROR(INDEX(Planos_Contratos!$I$4:$I$203,MATCH(B349,Planos_Contratos!$A$4:$A$203,0)),""))</x:f>
      </x:c>
      <x:c r="K349" s="70"/>
      <x:c r="L349" s="96" t="str">
        <x:f>IF(B349="","",IFERROR(INDEX(Planos_Contratos!$M$4:$M$203,MATCH(B349,Planos_Contratos!$A$4:$A$203,0)),""))</x:f>
      </x:c>
      <x:c r="M349" s="64"/>
    </x:row>
    <x:row r="350" ht="20" customHeight="1">
      <x:c r="A350" s="68" t="str">
        <x:f t="shared" si="10"/>
      </x:c>
      <x:c r="B350" s="64"/>
      <x:c r="C350" s="68" t="str">
        <x:f>IF(B350="","",IFERROR(INDEX(Planos_Contratos!$B$4:$B$203,MATCH(B350,Planos_Contratos!$A$4:$A$203,0)),""))</x:f>
      </x:c>
      <x:c r="D350" s="68" t="str">
        <x:f>IF(B350="","",IFERROR(INDEX(Planos_Contratos!$C$4:$C$203,MATCH(B350,Planos_Contratos!$A$4:$A$203,0)),""))</x:f>
      </x:c>
      <x:c r="E350" s="72"/>
      <x:c r="F350" s="72"/>
      <x:c r="G350" s="92" t="str">
        <x:f>IF(B350="","",IFERROR(INDEX(Planos_Contratos!$L$4:$L$203,MATCH(B350,Planos_Contratos!$A$4:$A$203,0))/MAX(1,INDEX(Planos_Contratos!$M$4:$M$203,MATCH(B350,Planos_Contratos!$A$4:$A$203,0))),""))</x:f>
      </x:c>
      <x:c r="H350" s="112"/>
      <x:c r="I350" s="92" t="str">
        <x:f t="shared" si="11"/>
      </x:c>
      <x:c r="J350" s="68" t="str">
        <x:f>IF(B350="","",IFERROR(INDEX(Planos_Contratos!$I$4:$I$203,MATCH(B350,Planos_Contratos!$A$4:$A$203,0)),""))</x:f>
      </x:c>
      <x:c r="K350" s="70"/>
      <x:c r="L350" s="96" t="str">
        <x:f>IF(B350="","",IFERROR(INDEX(Planos_Contratos!$M$4:$M$203,MATCH(B350,Planos_Contratos!$A$4:$A$203,0)),""))</x:f>
      </x:c>
      <x:c r="M350" s="64"/>
    </x:row>
    <x:row r="351" ht="20" customHeight="1">
      <x:c r="A351" s="68" t="str">
        <x:f t="shared" si="10"/>
      </x:c>
      <x:c r="B351" s="64"/>
      <x:c r="C351" s="68" t="str">
        <x:f>IF(B351="","",IFERROR(INDEX(Planos_Contratos!$B$4:$B$203,MATCH(B351,Planos_Contratos!$A$4:$A$203,0)),""))</x:f>
      </x:c>
      <x:c r="D351" s="68" t="str">
        <x:f>IF(B351="","",IFERROR(INDEX(Planos_Contratos!$C$4:$C$203,MATCH(B351,Planos_Contratos!$A$4:$A$203,0)),""))</x:f>
      </x:c>
      <x:c r="E351" s="72"/>
      <x:c r="F351" s="72"/>
      <x:c r="G351" s="92" t="str">
        <x:f>IF(B351="","",IFERROR(INDEX(Planos_Contratos!$L$4:$L$203,MATCH(B351,Planos_Contratos!$A$4:$A$203,0))/MAX(1,INDEX(Planos_Contratos!$M$4:$M$203,MATCH(B351,Planos_Contratos!$A$4:$A$203,0))),""))</x:f>
      </x:c>
      <x:c r="H351" s="112"/>
      <x:c r="I351" s="92" t="str">
        <x:f t="shared" si="11"/>
      </x:c>
      <x:c r="J351" s="68" t="str">
        <x:f>IF(B351="","",IFERROR(INDEX(Planos_Contratos!$I$4:$I$203,MATCH(B351,Planos_Contratos!$A$4:$A$203,0)),""))</x:f>
      </x:c>
      <x:c r="K351" s="70"/>
      <x:c r="L351" s="96" t="str">
        <x:f>IF(B351="","",IFERROR(INDEX(Planos_Contratos!$M$4:$M$203,MATCH(B351,Planos_Contratos!$A$4:$A$203,0)),""))</x:f>
      </x:c>
      <x:c r="M351" s="64"/>
    </x:row>
    <x:row r="352" ht="20" customHeight="1">
      <x:c r="A352" s="68" t="str">
        <x:f t="shared" si="10"/>
      </x:c>
      <x:c r="B352" s="64"/>
      <x:c r="C352" s="68" t="str">
        <x:f>IF(B352="","",IFERROR(INDEX(Planos_Contratos!$B$4:$B$203,MATCH(B352,Planos_Contratos!$A$4:$A$203,0)),""))</x:f>
      </x:c>
      <x:c r="D352" s="68" t="str">
        <x:f>IF(B352="","",IFERROR(INDEX(Planos_Contratos!$C$4:$C$203,MATCH(B352,Planos_Contratos!$A$4:$A$203,0)),""))</x:f>
      </x:c>
      <x:c r="E352" s="72"/>
      <x:c r="F352" s="72"/>
      <x:c r="G352" s="92" t="str">
        <x:f>IF(B352="","",IFERROR(INDEX(Planos_Contratos!$L$4:$L$203,MATCH(B352,Planos_Contratos!$A$4:$A$203,0))/MAX(1,INDEX(Planos_Contratos!$M$4:$M$203,MATCH(B352,Planos_Contratos!$A$4:$A$203,0))),""))</x:f>
      </x:c>
      <x:c r="H352" s="112"/>
      <x:c r="I352" s="92" t="str">
        <x:f t="shared" si="11"/>
      </x:c>
      <x:c r="J352" s="68" t="str">
        <x:f>IF(B352="","",IFERROR(INDEX(Planos_Contratos!$I$4:$I$203,MATCH(B352,Planos_Contratos!$A$4:$A$203,0)),""))</x:f>
      </x:c>
      <x:c r="K352" s="70"/>
      <x:c r="L352" s="96" t="str">
        <x:f>IF(B352="","",IFERROR(INDEX(Planos_Contratos!$M$4:$M$203,MATCH(B352,Planos_Contratos!$A$4:$A$203,0)),""))</x:f>
      </x:c>
      <x:c r="M352" s="64"/>
    </x:row>
    <x:row r="353" ht="20" customHeight="1">
      <x:c r="A353" s="68" t="str">
        <x:f t="shared" si="10"/>
      </x:c>
      <x:c r="B353" s="64"/>
      <x:c r="C353" s="68" t="str">
        <x:f>IF(B353="","",IFERROR(INDEX(Planos_Contratos!$B$4:$B$203,MATCH(B353,Planos_Contratos!$A$4:$A$203,0)),""))</x:f>
      </x:c>
      <x:c r="D353" s="68" t="str">
        <x:f>IF(B353="","",IFERROR(INDEX(Planos_Contratos!$C$4:$C$203,MATCH(B353,Planos_Contratos!$A$4:$A$203,0)),""))</x:f>
      </x:c>
      <x:c r="E353" s="72"/>
      <x:c r="F353" s="72"/>
      <x:c r="G353" s="92" t="str">
        <x:f>IF(B353="","",IFERROR(INDEX(Planos_Contratos!$L$4:$L$203,MATCH(B353,Planos_Contratos!$A$4:$A$203,0))/MAX(1,INDEX(Planos_Contratos!$M$4:$M$203,MATCH(B353,Planos_Contratos!$A$4:$A$203,0))),""))</x:f>
      </x:c>
      <x:c r="H353" s="112"/>
      <x:c r="I353" s="92" t="str">
        <x:f t="shared" si="11"/>
      </x:c>
      <x:c r="J353" s="68" t="str">
        <x:f>IF(B353="","",IFERROR(INDEX(Planos_Contratos!$I$4:$I$203,MATCH(B353,Planos_Contratos!$A$4:$A$203,0)),""))</x:f>
      </x:c>
      <x:c r="K353" s="70"/>
      <x:c r="L353" s="96" t="str">
        <x:f>IF(B353="","",IFERROR(INDEX(Planos_Contratos!$M$4:$M$203,MATCH(B353,Planos_Contratos!$A$4:$A$203,0)),""))</x:f>
      </x:c>
      <x:c r="M353" s="64"/>
    </x:row>
    <x:row r="354" ht="20" customHeight="1">
      <x:c r="A354" s="68" t="str">
        <x:f t="shared" si="10"/>
      </x:c>
      <x:c r="B354" s="64"/>
      <x:c r="C354" s="68" t="str">
        <x:f>IF(B354="","",IFERROR(INDEX(Planos_Contratos!$B$4:$B$203,MATCH(B354,Planos_Contratos!$A$4:$A$203,0)),""))</x:f>
      </x:c>
      <x:c r="D354" s="68" t="str">
        <x:f>IF(B354="","",IFERROR(INDEX(Planos_Contratos!$C$4:$C$203,MATCH(B354,Planos_Contratos!$A$4:$A$203,0)),""))</x:f>
      </x:c>
      <x:c r="E354" s="72"/>
      <x:c r="F354" s="72"/>
      <x:c r="G354" s="92" t="str">
        <x:f>IF(B354="","",IFERROR(INDEX(Planos_Contratos!$L$4:$L$203,MATCH(B354,Planos_Contratos!$A$4:$A$203,0))/MAX(1,INDEX(Planos_Contratos!$M$4:$M$203,MATCH(B354,Planos_Contratos!$A$4:$A$203,0))),""))</x:f>
      </x:c>
      <x:c r="H354" s="112"/>
      <x:c r="I354" s="92" t="str">
        <x:f t="shared" si="11"/>
      </x:c>
      <x:c r="J354" s="68" t="str">
        <x:f>IF(B354="","",IFERROR(INDEX(Planos_Contratos!$I$4:$I$203,MATCH(B354,Planos_Contratos!$A$4:$A$203,0)),""))</x:f>
      </x:c>
      <x:c r="K354" s="70"/>
      <x:c r="L354" s="96" t="str">
        <x:f>IF(B354="","",IFERROR(INDEX(Planos_Contratos!$M$4:$M$203,MATCH(B354,Planos_Contratos!$A$4:$A$203,0)),""))</x:f>
      </x:c>
      <x:c r="M354" s="64"/>
    </x:row>
    <x:row r="355" ht="20" customHeight="1">
      <x:c r="A355" s="68" t="str">
        <x:f t="shared" si="10"/>
      </x:c>
      <x:c r="B355" s="64"/>
      <x:c r="C355" s="68" t="str">
        <x:f>IF(B355="","",IFERROR(INDEX(Planos_Contratos!$B$4:$B$203,MATCH(B355,Planos_Contratos!$A$4:$A$203,0)),""))</x:f>
      </x:c>
      <x:c r="D355" s="68" t="str">
        <x:f>IF(B355="","",IFERROR(INDEX(Planos_Contratos!$C$4:$C$203,MATCH(B355,Planos_Contratos!$A$4:$A$203,0)),""))</x:f>
      </x:c>
      <x:c r="E355" s="72"/>
      <x:c r="F355" s="72"/>
      <x:c r="G355" s="92" t="str">
        <x:f>IF(B355="","",IFERROR(INDEX(Planos_Contratos!$L$4:$L$203,MATCH(B355,Planos_Contratos!$A$4:$A$203,0))/MAX(1,INDEX(Planos_Contratos!$M$4:$M$203,MATCH(B355,Planos_Contratos!$A$4:$A$203,0))),""))</x:f>
      </x:c>
      <x:c r="H355" s="112"/>
      <x:c r="I355" s="92" t="str">
        <x:f t="shared" si="11"/>
      </x:c>
      <x:c r="J355" s="68" t="str">
        <x:f>IF(B355="","",IFERROR(INDEX(Planos_Contratos!$I$4:$I$203,MATCH(B355,Planos_Contratos!$A$4:$A$203,0)),""))</x:f>
      </x:c>
      <x:c r="K355" s="70"/>
      <x:c r="L355" s="96" t="str">
        <x:f>IF(B355="","",IFERROR(INDEX(Planos_Contratos!$M$4:$M$203,MATCH(B355,Planos_Contratos!$A$4:$A$203,0)),""))</x:f>
      </x:c>
      <x:c r="M355" s="64"/>
    </x:row>
    <x:row r="356" ht="20" customHeight="1">
      <x:c r="A356" s="68" t="str">
        <x:f t="shared" si="10"/>
      </x:c>
      <x:c r="B356" s="64"/>
      <x:c r="C356" s="68" t="str">
        <x:f>IF(B356="","",IFERROR(INDEX(Planos_Contratos!$B$4:$B$203,MATCH(B356,Planos_Contratos!$A$4:$A$203,0)),""))</x:f>
      </x:c>
      <x:c r="D356" s="68" t="str">
        <x:f>IF(B356="","",IFERROR(INDEX(Planos_Contratos!$C$4:$C$203,MATCH(B356,Planos_Contratos!$A$4:$A$203,0)),""))</x:f>
      </x:c>
      <x:c r="E356" s="72"/>
      <x:c r="F356" s="72"/>
      <x:c r="G356" s="92" t="str">
        <x:f>IF(B356="","",IFERROR(INDEX(Planos_Contratos!$L$4:$L$203,MATCH(B356,Planos_Contratos!$A$4:$A$203,0))/MAX(1,INDEX(Planos_Contratos!$M$4:$M$203,MATCH(B356,Planos_Contratos!$A$4:$A$203,0))),""))</x:f>
      </x:c>
      <x:c r="H356" s="112"/>
      <x:c r="I356" s="92" t="str">
        <x:f t="shared" si="11"/>
      </x:c>
      <x:c r="J356" s="68" t="str">
        <x:f>IF(B356="","",IFERROR(INDEX(Planos_Contratos!$I$4:$I$203,MATCH(B356,Planos_Contratos!$A$4:$A$203,0)),""))</x:f>
      </x:c>
      <x:c r="K356" s="70"/>
      <x:c r="L356" s="96" t="str">
        <x:f>IF(B356="","",IFERROR(INDEX(Planos_Contratos!$M$4:$M$203,MATCH(B356,Planos_Contratos!$A$4:$A$203,0)),""))</x:f>
      </x:c>
      <x:c r="M356" s="64"/>
    </x:row>
    <x:row r="357" ht="20" customHeight="1">
      <x:c r="A357" s="68" t="str">
        <x:f t="shared" si="10"/>
      </x:c>
      <x:c r="B357" s="64"/>
      <x:c r="C357" s="68" t="str">
        <x:f>IF(B357="","",IFERROR(INDEX(Planos_Contratos!$B$4:$B$203,MATCH(B357,Planos_Contratos!$A$4:$A$203,0)),""))</x:f>
      </x:c>
      <x:c r="D357" s="68" t="str">
        <x:f>IF(B357="","",IFERROR(INDEX(Planos_Contratos!$C$4:$C$203,MATCH(B357,Planos_Contratos!$A$4:$A$203,0)),""))</x:f>
      </x:c>
      <x:c r="E357" s="72"/>
      <x:c r="F357" s="72"/>
      <x:c r="G357" s="92" t="str">
        <x:f>IF(B357="","",IFERROR(INDEX(Planos_Contratos!$L$4:$L$203,MATCH(B357,Planos_Contratos!$A$4:$A$203,0))/MAX(1,INDEX(Planos_Contratos!$M$4:$M$203,MATCH(B357,Planos_Contratos!$A$4:$A$203,0))),""))</x:f>
      </x:c>
      <x:c r="H357" s="112"/>
      <x:c r="I357" s="92" t="str">
        <x:f t="shared" si="11"/>
      </x:c>
      <x:c r="J357" s="68" t="str">
        <x:f>IF(B357="","",IFERROR(INDEX(Planos_Contratos!$I$4:$I$203,MATCH(B357,Planos_Contratos!$A$4:$A$203,0)),""))</x:f>
      </x:c>
      <x:c r="K357" s="70"/>
      <x:c r="L357" s="96" t="str">
        <x:f>IF(B357="","",IFERROR(INDEX(Planos_Contratos!$M$4:$M$203,MATCH(B357,Planos_Contratos!$A$4:$A$203,0)),""))</x:f>
      </x:c>
      <x:c r="M357" s="64"/>
    </x:row>
    <x:row r="358" ht="20" customHeight="1">
      <x:c r="A358" s="68" t="str">
        <x:f t="shared" si="10"/>
      </x:c>
      <x:c r="B358" s="64"/>
      <x:c r="C358" s="68" t="str">
        <x:f>IF(B358="","",IFERROR(INDEX(Planos_Contratos!$B$4:$B$203,MATCH(B358,Planos_Contratos!$A$4:$A$203,0)),""))</x:f>
      </x:c>
      <x:c r="D358" s="68" t="str">
        <x:f>IF(B358="","",IFERROR(INDEX(Planos_Contratos!$C$4:$C$203,MATCH(B358,Planos_Contratos!$A$4:$A$203,0)),""))</x:f>
      </x:c>
      <x:c r="E358" s="72"/>
      <x:c r="F358" s="72"/>
      <x:c r="G358" s="92" t="str">
        <x:f>IF(B358="","",IFERROR(INDEX(Planos_Contratos!$L$4:$L$203,MATCH(B358,Planos_Contratos!$A$4:$A$203,0))/MAX(1,INDEX(Planos_Contratos!$M$4:$M$203,MATCH(B358,Planos_Contratos!$A$4:$A$203,0))),""))</x:f>
      </x:c>
      <x:c r="H358" s="112"/>
      <x:c r="I358" s="92" t="str">
        <x:f t="shared" si="11"/>
      </x:c>
      <x:c r="J358" s="68" t="str">
        <x:f>IF(B358="","",IFERROR(INDEX(Planos_Contratos!$I$4:$I$203,MATCH(B358,Planos_Contratos!$A$4:$A$203,0)),""))</x:f>
      </x:c>
      <x:c r="K358" s="70"/>
      <x:c r="L358" s="96" t="str">
        <x:f>IF(B358="","",IFERROR(INDEX(Planos_Contratos!$M$4:$M$203,MATCH(B358,Planos_Contratos!$A$4:$A$203,0)),""))</x:f>
      </x:c>
      <x:c r="M358" s="64"/>
    </x:row>
    <x:row r="359" ht="20" customHeight="1">
      <x:c r="A359" s="68" t="str">
        <x:f t="shared" si="10"/>
      </x:c>
      <x:c r="B359" s="64"/>
      <x:c r="C359" s="68" t="str">
        <x:f>IF(B359="","",IFERROR(INDEX(Planos_Contratos!$B$4:$B$203,MATCH(B359,Planos_Contratos!$A$4:$A$203,0)),""))</x:f>
      </x:c>
      <x:c r="D359" s="68" t="str">
        <x:f>IF(B359="","",IFERROR(INDEX(Planos_Contratos!$C$4:$C$203,MATCH(B359,Planos_Contratos!$A$4:$A$203,0)),""))</x:f>
      </x:c>
      <x:c r="E359" s="72"/>
      <x:c r="F359" s="72"/>
      <x:c r="G359" s="92" t="str">
        <x:f>IF(B359="","",IFERROR(INDEX(Planos_Contratos!$L$4:$L$203,MATCH(B359,Planos_Contratos!$A$4:$A$203,0))/MAX(1,INDEX(Planos_Contratos!$M$4:$M$203,MATCH(B359,Planos_Contratos!$A$4:$A$203,0))),""))</x:f>
      </x:c>
      <x:c r="H359" s="112"/>
      <x:c r="I359" s="92" t="str">
        <x:f t="shared" si="11"/>
      </x:c>
      <x:c r="J359" s="68" t="str">
        <x:f>IF(B359="","",IFERROR(INDEX(Planos_Contratos!$I$4:$I$203,MATCH(B359,Planos_Contratos!$A$4:$A$203,0)),""))</x:f>
      </x:c>
      <x:c r="K359" s="70"/>
      <x:c r="L359" s="96" t="str">
        <x:f>IF(B359="","",IFERROR(INDEX(Planos_Contratos!$M$4:$M$203,MATCH(B359,Planos_Contratos!$A$4:$A$203,0)),""))</x:f>
      </x:c>
      <x:c r="M359" s="64"/>
    </x:row>
    <x:row r="360" ht="20" customHeight="1">
      <x:c r="A360" s="68" t="str">
        <x:f t="shared" si="10"/>
      </x:c>
      <x:c r="B360" s="64"/>
      <x:c r="C360" s="68" t="str">
        <x:f>IF(B360="","",IFERROR(INDEX(Planos_Contratos!$B$4:$B$203,MATCH(B360,Planos_Contratos!$A$4:$A$203,0)),""))</x:f>
      </x:c>
      <x:c r="D360" s="68" t="str">
        <x:f>IF(B360="","",IFERROR(INDEX(Planos_Contratos!$C$4:$C$203,MATCH(B360,Planos_Contratos!$A$4:$A$203,0)),""))</x:f>
      </x:c>
      <x:c r="E360" s="72"/>
      <x:c r="F360" s="72"/>
      <x:c r="G360" s="92" t="str">
        <x:f>IF(B360="","",IFERROR(INDEX(Planos_Contratos!$L$4:$L$203,MATCH(B360,Planos_Contratos!$A$4:$A$203,0))/MAX(1,INDEX(Planos_Contratos!$M$4:$M$203,MATCH(B360,Planos_Contratos!$A$4:$A$203,0))),""))</x:f>
      </x:c>
      <x:c r="H360" s="112"/>
      <x:c r="I360" s="92" t="str">
        <x:f t="shared" si="11"/>
      </x:c>
      <x:c r="J360" s="68" t="str">
        <x:f>IF(B360="","",IFERROR(INDEX(Planos_Contratos!$I$4:$I$203,MATCH(B360,Planos_Contratos!$A$4:$A$203,0)),""))</x:f>
      </x:c>
      <x:c r="K360" s="70"/>
      <x:c r="L360" s="96" t="str">
        <x:f>IF(B360="","",IFERROR(INDEX(Planos_Contratos!$M$4:$M$203,MATCH(B360,Planos_Contratos!$A$4:$A$203,0)),""))</x:f>
      </x:c>
      <x:c r="M360" s="64"/>
    </x:row>
    <x:row r="361" ht="20" customHeight="1">
      <x:c r="A361" s="68" t="str">
        <x:f t="shared" si="10"/>
      </x:c>
      <x:c r="B361" s="64"/>
      <x:c r="C361" s="68" t="str">
        <x:f>IF(B361="","",IFERROR(INDEX(Planos_Contratos!$B$4:$B$203,MATCH(B361,Planos_Contratos!$A$4:$A$203,0)),""))</x:f>
      </x:c>
      <x:c r="D361" s="68" t="str">
        <x:f>IF(B361="","",IFERROR(INDEX(Planos_Contratos!$C$4:$C$203,MATCH(B361,Planos_Contratos!$A$4:$A$203,0)),""))</x:f>
      </x:c>
      <x:c r="E361" s="72"/>
      <x:c r="F361" s="72"/>
      <x:c r="G361" s="92" t="str">
        <x:f>IF(B361="","",IFERROR(INDEX(Planos_Contratos!$L$4:$L$203,MATCH(B361,Planos_Contratos!$A$4:$A$203,0))/MAX(1,INDEX(Planos_Contratos!$M$4:$M$203,MATCH(B361,Planos_Contratos!$A$4:$A$203,0))),""))</x:f>
      </x:c>
      <x:c r="H361" s="112"/>
      <x:c r="I361" s="92" t="str">
        <x:f t="shared" si="11"/>
      </x:c>
      <x:c r="J361" s="68" t="str">
        <x:f>IF(B361="","",IFERROR(INDEX(Planos_Contratos!$I$4:$I$203,MATCH(B361,Planos_Contratos!$A$4:$A$203,0)),""))</x:f>
      </x:c>
      <x:c r="K361" s="70"/>
      <x:c r="L361" s="96" t="str">
        <x:f>IF(B361="","",IFERROR(INDEX(Planos_Contratos!$M$4:$M$203,MATCH(B361,Planos_Contratos!$A$4:$A$203,0)),""))</x:f>
      </x:c>
      <x:c r="M361" s="64"/>
    </x:row>
    <x:row r="362" ht="20" customHeight="1">
      <x:c r="A362" s="68" t="str">
        <x:f t="shared" si="10"/>
      </x:c>
      <x:c r="B362" s="64"/>
      <x:c r="C362" s="68" t="str">
        <x:f>IF(B362="","",IFERROR(INDEX(Planos_Contratos!$B$4:$B$203,MATCH(B362,Planos_Contratos!$A$4:$A$203,0)),""))</x:f>
      </x:c>
      <x:c r="D362" s="68" t="str">
        <x:f>IF(B362="","",IFERROR(INDEX(Planos_Contratos!$C$4:$C$203,MATCH(B362,Planos_Contratos!$A$4:$A$203,0)),""))</x:f>
      </x:c>
      <x:c r="E362" s="72"/>
      <x:c r="F362" s="72"/>
      <x:c r="G362" s="92" t="str">
        <x:f>IF(B362="","",IFERROR(INDEX(Planos_Contratos!$L$4:$L$203,MATCH(B362,Planos_Contratos!$A$4:$A$203,0))/MAX(1,INDEX(Planos_Contratos!$M$4:$M$203,MATCH(B362,Planos_Contratos!$A$4:$A$203,0))),""))</x:f>
      </x:c>
      <x:c r="H362" s="112"/>
      <x:c r="I362" s="92" t="str">
        <x:f t="shared" si="11"/>
      </x:c>
      <x:c r="J362" s="68" t="str">
        <x:f>IF(B362="","",IFERROR(INDEX(Planos_Contratos!$I$4:$I$203,MATCH(B362,Planos_Contratos!$A$4:$A$203,0)),""))</x:f>
      </x:c>
      <x:c r="K362" s="70"/>
      <x:c r="L362" s="96" t="str">
        <x:f>IF(B362="","",IFERROR(INDEX(Planos_Contratos!$M$4:$M$203,MATCH(B362,Planos_Contratos!$A$4:$A$203,0)),""))</x:f>
      </x:c>
      <x:c r="M362" s="64"/>
    </x:row>
    <x:row r="363" ht="20" customHeight="1">
      <x:c r="A363" s="68" t="str">
        <x:f t="shared" si="10"/>
      </x:c>
      <x:c r="B363" s="64"/>
      <x:c r="C363" s="68" t="str">
        <x:f>IF(B363="","",IFERROR(INDEX(Planos_Contratos!$B$4:$B$203,MATCH(B363,Planos_Contratos!$A$4:$A$203,0)),""))</x:f>
      </x:c>
      <x:c r="D363" s="68" t="str">
        <x:f>IF(B363="","",IFERROR(INDEX(Planos_Contratos!$C$4:$C$203,MATCH(B363,Planos_Contratos!$A$4:$A$203,0)),""))</x:f>
      </x:c>
      <x:c r="E363" s="72"/>
      <x:c r="F363" s="72"/>
      <x:c r="G363" s="92" t="str">
        <x:f>IF(B363="","",IFERROR(INDEX(Planos_Contratos!$L$4:$L$203,MATCH(B363,Planos_Contratos!$A$4:$A$203,0))/MAX(1,INDEX(Planos_Contratos!$M$4:$M$203,MATCH(B363,Planos_Contratos!$A$4:$A$203,0))),""))</x:f>
      </x:c>
      <x:c r="H363" s="112"/>
      <x:c r="I363" s="92" t="str">
        <x:f t="shared" si="11"/>
      </x:c>
      <x:c r="J363" s="68" t="str">
        <x:f>IF(B363="","",IFERROR(INDEX(Planos_Contratos!$I$4:$I$203,MATCH(B363,Planos_Contratos!$A$4:$A$203,0)),""))</x:f>
      </x:c>
      <x:c r="K363" s="70"/>
      <x:c r="L363" s="96" t="str">
        <x:f>IF(B363="","",IFERROR(INDEX(Planos_Contratos!$M$4:$M$203,MATCH(B363,Planos_Contratos!$A$4:$A$203,0)),""))</x:f>
      </x:c>
      <x:c r="M363" s="64"/>
    </x:row>
    <x:row r="364" ht="20" customHeight="1">
      <x:c r="A364" s="68" t="str">
        <x:f t="shared" si="10"/>
      </x:c>
      <x:c r="B364" s="64"/>
      <x:c r="C364" s="68" t="str">
        <x:f>IF(B364="","",IFERROR(INDEX(Planos_Contratos!$B$4:$B$203,MATCH(B364,Planos_Contratos!$A$4:$A$203,0)),""))</x:f>
      </x:c>
      <x:c r="D364" s="68" t="str">
        <x:f>IF(B364="","",IFERROR(INDEX(Planos_Contratos!$C$4:$C$203,MATCH(B364,Planos_Contratos!$A$4:$A$203,0)),""))</x:f>
      </x:c>
      <x:c r="E364" s="72"/>
      <x:c r="F364" s="72"/>
      <x:c r="G364" s="92" t="str">
        <x:f>IF(B364="","",IFERROR(INDEX(Planos_Contratos!$L$4:$L$203,MATCH(B364,Planos_Contratos!$A$4:$A$203,0))/MAX(1,INDEX(Planos_Contratos!$M$4:$M$203,MATCH(B364,Planos_Contratos!$A$4:$A$203,0))),""))</x:f>
      </x:c>
      <x:c r="H364" s="112"/>
      <x:c r="I364" s="92" t="str">
        <x:f t="shared" si="11"/>
      </x:c>
      <x:c r="J364" s="68" t="str">
        <x:f>IF(B364="","",IFERROR(INDEX(Planos_Contratos!$I$4:$I$203,MATCH(B364,Planos_Contratos!$A$4:$A$203,0)),""))</x:f>
      </x:c>
      <x:c r="K364" s="70"/>
      <x:c r="L364" s="96" t="str">
        <x:f>IF(B364="","",IFERROR(INDEX(Planos_Contratos!$M$4:$M$203,MATCH(B364,Planos_Contratos!$A$4:$A$203,0)),""))</x:f>
      </x:c>
      <x:c r="M364" s="64"/>
    </x:row>
    <x:row r="365" ht="20" customHeight="1">
      <x:c r="A365" s="68" t="str">
        <x:f t="shared" si="10"/>
      </x:c>
      <x:c r="B365" s="64"/>
      <x:c r="C365" s="68" t="str">
        <x:f>IF(B365="","",IFERROR(INDEX(Planos_Contratos!$B$4:$B$203,MATCH(B365,Planos_Contratos!$A$4:$A$203,0)),""))</x:f>
      </x:c>
      <x:c r="D365" s="68" t="str">
        <x:f>IF(B365="","",IFERROR(INDEX(Planos_Contratos!$C$4:$C$203,MATCH(B365,Planos_Contratos!$A$4:$A$203,0)),""))</x:f>
      </x:c>
      <x:c r="E365" s="72"/>
      <x:c r="F365" s="72"/>
      <x:c r="G365" s="92" t="str">
        <x:f>IF(B365="","",IFERROR(INDEX(Planos_Contratos!$L$4:$L$203,MATCH(B365,Planos_Contratos!$A$4:$A$203,0))/MAX(1,INDEX(Planos_Contratos!$M$4:$M$203,MATCH(B365,Planos_Contratos!$A$4:$A$203,0))),""))</x:f>
      </x:c>
      <x:c r="H365" s="112"/>
      <x:c r="I365" s="92" t="str">
        <x:f t="shared" si="11"/>
      </x:c>
      <x:c r="J365" s="68" t="str">
        <x:f>IF(B365="","",IFERROR(INDEX(Planos_Contratos!$I$4:$I$203,MATCH(B365,Planos_Contratos!$A$4:$A$203,0)),""))</x:f>
      </x:c>
      <x:c r="K365" s="70"/>
      <x:c r="L365" s="96" t="str">
        <x:f>IF(B365="","",IFERROR(INDEX(Planos_Contratos!$M$4:$M$203,MATCH(B365,Planos_Contratos!$A$4:$A$203,0)),""))</x:f>
      </x:c>
      <x:c r="M365" s="64"/>
    </x:row>
    <x:row r="366" ht="20" customHeight="1">
      <x:c r="A366" s="68" t="str">
        <x:f t="shared" si="10"/>
      </x:c>
      <x:c r="B366" s="64"/>
      <x:c r="C366" s="68" t="str">
        <x:f>IF(B366="","",IFERROR(INDEX(Planos_Contratos!$B$4:$B$203,MATCH(B366,Planos_Contratos!$A$4:$A$203,0)),""))</x:f>
      </x:c>
      <x:c r="D366" s="68" t="str">
        <x:f>IF(B366="","",IFERROR(INDEX(Planos_Contratos!$C$4:$C$203,MATCH(B366,Planos_Contratos!$A$4:$A$203,0)),""))</x:f>
      </x:c>
      <x:c r="E366" s="72"/>
      <x:c r="F366" s="72"/>
      <x:c r="G366" s="92" t="str">
        <x:f>IF(B366="","",IFERROR(INDEX(Planos_Contratos!$L$4:$L$203,MATCH(B366,Planos_Contratos!$A$4:$A$203,0))/MAX(1,INDEX(Planos_Contratos!$M$4:$M$203,MATCH(B366,Planos_Contratos!$A$4:$A$203,0))),""))</x:f>
      </x:c>
      <x:c r="H366" s="112"/>
      <x:c r="I366" s="92" t="str">
        <x:f t="shared" si="11"/>
      </x:c>
      <x:c r="J366" s="68" t="str">
        <x:f>IF(B366="","",IFERROR(INDEX(Planos_Contratos!$I$4:$I$203,MATCH(B366,Planos_Contratos!$A$4:$A$203,0)),""))</x:f>
      </x:c>
      <x:c r="K366" s="70"/>
      <x:c r="L366" s="96" t="str">
        <x:f>IF(B366="","",IFERROR(INDEX(Planos_Contratos!$M$4:$M$203,MATCH(B366,Planos_Contratos!$A$4:$A$203,0)),""))</x:f>
      </x:c>
      <x:c r="M366" s="64"/>
    </x:row>
    <x:row r="367" ht="20" customHeight="1">
      <x:c r="A367" s="68" t="str">
        <x:f t="shared" si="10"/>
      </x:c>
      <x:c r="B367" s="64"/>
      <x:c r="C367" s="68" t="str">
        <x:f>IF(B367="","",IFERROR(INDEX(Planos_Contratos!$B$4:$B$203,MATCH(B367,Planos_Contratos!$A$4:$A$203,0)),""))</x:f>
      </x:c>
      <x:c r="D367" s="68" t="str">
        <x:f>IF(B367="","",IFERROR(INDEX(Planos_Contratos!$C$4:$C$203,MATCH(B367,Planos_Contratos!$A$4:$A$203,0)),""))</x:f>
      </x:c>
      <x:c r="E367" s="72"/>
      <x:c r="F367" s="72"/>
      <x:c r="G367" s="92" t="str">
        <x:f>IF(B367="","",IFERROR(INDEX(Planos_Contratos!$L$4:$L$203,MATCH(B367,Planos_Contratos!$A$4:$A$203,0))/MAX(1,INDEX(Planos_Contratos!$M$4:$M$203,MATCH(B367,Planos_Contratos!$A$4:$A$203,0))),""))</x:f>
      </x:c>
      <x:c r="H367" s="112"/>
      <x:c r="I367" s="92" t="str">
        <x:f t="shared" si="11"/>
      </x:c>
      <x:c r="J367" s="68" t="str">
        <x:f>IF(B367="","",IFERROR(INDEX(Planos_Contratos!$I$4:$I$203,MATCH(B367,Planos_Contratos!$A$4:$A$203,0)),""))</x:f>
      </x:c>
      <x:c r="K367" s="70"/>
      <x:c r="L367" s="96" t="str">
        <x:f>IF(B367="","",IFERROR(INDEX(Planos_Contratos!$M$4:$M$203,MATCH(B367,Planos_Contratos!$A$4:$A$203,0)),""))</x:f>
      </x:c>
      <x:c r="M367" s="64"/>
    </x:row>
    <x:row r="368" ht="20" customHeight="1">
      <x:c r="A368" s="68" t="str">
        <x:f t="shared" si="10"/>
      </x:c>
      <x:c r="B368" s="64"/>
      <x:c r="C368" s="68" t="str">
        <x:f>IF(B368="","",IFERROR(INDEX(Planos_Contratos!$B$4:$B$203,MATCH(B368,Planos_Contratos!$A$4:$A$203,0)),""))</x:f>
      </x:c>
      <x:c r="D368" s="68" t="str">
        <x:f>IF(B368="","",IFERROR(INDEX(Planos_Contratos!$C$4:$C$203,MATCH(B368,Planos_Contratos!$A$4:$A$203,0)),""))</x:f>
      </x:c>
      <x:c r="E368" s="72"/>
      <x:c r="F368" s="72"/>
      <x:c r="G368" s="92" t="str">
        <x:f>IF(B368="","",IFERROR(INDEX(Planos_Contratos!$L$4:$L$203,MATCH(B368,Planos_Contratos!$A$4:$A$203,0))/MAX(1,INDEX(Planos_Contratos!$M$4:$M$203,MATCH(B368,Planos_Contratos!$A$4:$A$203,0))),""))</x:f>
      </x:c>
      <x:c r="H368" s="112"/>
      <x:c r="I368" s="92" t="str">
        <x:f t="shared" si="11"/>
      </x:c>
      <x:c r="J368" s="68" t="str">
        <x:f>IF(B368="","",IFERROR(INDEX(Planos_Contratos!$I$4:$I$203,MATCH(B368,Planos_Contratos!$A$4:$A$203,0)),""))</x:f>
      </x:c>
      <x:c r="K368" s="70"/>
      <x:c r="L368" s="96" t="str">
        <x:f>IF(B368="","",IFERROR(INDEX(Planos_Contratos!$M$4:$M$203,MATCH(B368,Planos_Contratos!$A$4:$A$203,0)),""))</x:f>
      </x:c>
      <x:c r="M368" s="64"/>
    </x:row>
    <x:row r="369" ht="20" customHeight="1">
      <x:c r="A369" s="68" t="str">
        <x:f t="shared" si="10"/>
      </x:c>
      <x:c r="B369" s="64"/>
      <x:c r="C369" s="68" t="str">
        <x:f>IF(B369="","",IFERROR(INDEX(Planos_Contratos!$B$4:$B$203,MATCH(B369,Planos_Contratos!$A$4:$A$203,0)),""))</x:f>
      </x:c>
      <x:c r="D369" s="68" t="str">
        <x:f>IF(B369="","",IFERROR(INDEX(Planos_Contratos!$C$4:$C$203,MATCH(B369,Planos_Contratos!$A$4:$A$203,0)),""))</x:f>
      </x:c>
      <x:c r="E369" s="72"/>
      <x:c r="F369" s="72"/>
      <x:c r="G369" s="92" t="str">
        <x:f>IF(B369="","",IFERROR(INDEX(Planos_Contratos!$L$4:$L$203,MATCH(B369,Planos_Contratos!$A$4:$A$203,0))/MAX(1,INDEX(Planos_Contratos!$M$4:$M$203,MATCH(B369,Planos_Contratos!$A$4:$A$203,0))),""))</x:f>
      </x:c>
      <x:c r="H369" s="112"/>
      <x:c r="I369" s="92" t="str">
        <x:f t="shared" si="11"/>
      </x:c>
      <x:c r="J369" s="68" t="str">
        <x:f>IF(B369="","",IFERROR(INDEX(Planos_Contratos!$I$4:$I$203,MATCH(B369,Planos_Contratos!$A$4:$A$203,0)),""))</x:f>
      </x:c>
      <x:c r="K369" s="70"/>
      <x:c r="L369" s="96" t="str">
        <x:f>IF(B369="","",IFERROR(INDEX(Planos_Contratos!$M$4:$M$203,MATCH(B369,Planos_Contratos!$A$4:$A$203,0)),""))</x:f>
      </x:c>
      <x:c r="M369" s="64"/>
    </x:row>
    <x:row r="370" ht="20" customHeight="1">
      <x:c r="A370" s="68" t="str">
        <x:f t="shared" si="10"/>
      </x:c>
      <x:c r="B370" s="64"/>
      <x:c r="C370" s="68" t="str">
        <x:f>IF(B370="","",IFERROR(INDEX(Planos_Contratos!$B$4:$B$203,MATCH(B370,Planos_Contratos!$A$4:$A$203,0)),""))</x:f>
      </x:c>
      <x:c r="D370" s="68" t="str">
        <x:f>IF(B370="","",IFERROR(INDEX(Planos_Contratos!$C$4:$C$203,MATCH(B370,Planos_Contratos!$A$4:$A$203,0)),""))</x:f>
      </x:c>
      <x:c r="E370" s="72"/>
      <x:c r="F370" s="72"/>
      <x:c r="G370" s="92" t="str">
        <x:f>IF(B370="","",IFERROR(INDEX(Planos_Contratos!$L$4:$L$203,MATCH(B370,Planos_Contratos!$A$4:$A$203,0))/MAX(1,INDEX(Planos_Contratos!$M$4:$M$203,MATCH(B370,Planos_Contratos!$A$4:$A$203,0))),""))</x:f>
      </x:c>
      <x:c r="H370" s="112"/>
      <x:c r="I370" s="92" t="str">
        <x:f t="shared" si="11"/>
      </x:c>
      <x:c r="J370" s="68" t="str">
        <x:f>IF(B370="","",IFERROR(INDEX(Planos_Contratos!$I$4:$I$203,MATCH(B370,Planos_Contratos!$A$4:$A$203,0)),""))</x:f>
      </x:c>
      <x:c r="K370" s="70"/>
      <x:c r="L370" s="96" t="str">
        <x:f>IF(B370="","",IFERROR(INDEX(Planos_Contratos!$M$4:$M$203,MATCH(B370,Planos_Contratos!$A$4:$A$203,0)),""))</x:f>
      </x:c>
      <x:c r="M370" s="64"/>
    </x:row>
    <x:row r="371" ht="20" customHeight="1">
      <x:c r="A371" s="68" t="str">
        <x:f t="shared" si="10"/>
      </x:c>
      <x:c r="B371" s="64"/>
      <x:c r="C371" s="68" t="str">
        <x:f>IF(B371="","",IFERROR(INDEX(Planos_Contratos!$B$4:$B$203,MATCH(B371,Planos_Contratos!$A$4:$A$203,0)),""))</x:f>
      </x:c>
      <x:c r="D371" s="68" t="str">
        <x:f>IF(B371="","",IFERROR(INDEX(Planos_Contratos!$C$4:$C$203,MATCH(B371,Planos_Contratos!$A$4:$A$203,0)),""))</x:f>
      </x:c>
      <x:c r="E371" s="72"/>
      <x:c r="F371" s="72"/>
      <x:c r="G371" s="92" t="str">
        <x:f>IF(B371="","",IFERROR(INDEX(Planos_Contratos!$L$4:$L$203,MATCH(B371,Planos_Contratos!$A$4:$A$203,0))/MAX(1,INDEX(Planos_Contratos!$M$4:$M$203,MATCH(B371,Planos_Contratos!$A$4:$A$203,0))),""))</x:f>
      </x:c>
      <x:c r="H371" s="112"/>
      <x:c r="I371" s="92" t="str">
        <x:f t="shared" si="11"/>
      </x:c>
      <x:c r="J371" s="68" t="str">
        <x:f>IF(B371="","",IFERROR(INDEX(Planos_Contratos!$I$4:$I$203,MATCH(B371,Planos_Contratos!$A$4:$A$203,0)),""))</x:f>
      </x:c>
      <x:c r="K371" s="70"/>
      <x:c r="L371" s="96" t="str">
        <x:f>IF(B371="","",IFERROR(INDEX(Planos_Contratos!$M$4:$M$203,MATCH(B371,Planos_Contratos!$A$4:$A$203,0)),""))</x:f>
      </x:c>
      <x:c r="M371" s="64"/>
    </x:row>
    <x:row r="372" ht="20" customHeight="1">
      <x:c r="A372" s="68" t="str">
        <x:f t="shared" si="10"/>
      </x:c>
      <x:c r="B372" s="64"/>
      <x:c r="C372" s="68" t="str">
        <x:f>IF(B372="","",IFERROR(INDEX(Planos_Contratos!$B$4:$B$203,MATCH(B372,Planos_Contratos!$A$4:$A$203,0)),""))</x:f>
      </x:c>
      <x:c r="D372" s="68" t="str">
        <x:f>IF(B372="","",IFERROR(INDEX(Planos_Contratos!$C$4:$C$203,MATCH(B372,Planos_Contratos!$A$4:$A$203,0)),""))</x:f>
      </x:c>
      <x:c r="E372" s="72"/>
      <x:c r="F372" s="72"/>
      <x:c r="G372" s="92" t="str">
        <x:f>IF(B372="","",IFERROR(INDEX(Planos_Contratos!$L$4:$L$203,MATCH(B372,Planos_Contratos!$A$4:$A$203,0))/MAX(1,INDEX(Planos_Contratos!$M$4:$M$203,MATCH(B372,Planos_Contratos!$A$4:$A$203,0))),""))</x:f>
      </x:c>
      <x:c r="H372" s="112"/>
      <x:c r="I372" s="92" t="str">
        <x:f t="shared" si="11"/>
      </x:c>
      <x:c r="J372" s="68" t="str">
        <x:f>IF(B372="","",IFERROR(INDEX(Planos_Contratos!$I$4:$I$203,MATCH(B372,Planos_Contratos!$A$4:$A$203,0)),""))</x:f>
      </x:c>
      <x:c r="K372" s="70"/>
      <x:c r="L372" s="96" t="str">
        <x:f>IF(B372="","",IFERROR(INDEX(Planos_Contratos!$M$4:$M$203,MATCH(B372,Planos_Contratos!$A$4:$A$203,0)),""))</x:f>
      </x:c>
      <x:c r="M372" s="64"/>
    </x:row>
    <x:row r="373" ht="20" customHeight="1">
      <x:c r="A373" s="68" t="str">
        <x:f t="shared" si="10"/>
      </x:c>
      <x:c r="B373" s="64"/>
      <x:c r="C373" s="68" t="str">
        <x:f>IF(B373="","",IFERROR(INDEX(Planos_Contratos!$B$4:$B$203,MATCH(B373,Planos_Contratos!$A$4:$A$203,0)),""))</x:f>
      </x:c>
      <x:c r="D373" s="68" t="str">
        <x:f>IF(B373="","",IFERROR(INDEX(Planos_Contratos!$C$4:$C$203,MATCH(B373,Planos_Contratos!$A$4:$A$203,0)),""))</x:f>
      </x:c>
      <x:c r="E373" s="72"/>
      <x:c r="F373" s="72"/>
      <x:c r="G373" s="92" t="str">
        <x:f>IF(B373="","",IFERROR(INDEX(Planos_Contratos!$L$4:$L$203,MATCH(B373,Planos_Contratos!$A$4:$A$203,0))/MAX(1,INDEX(Planos_Contratos!$M$4:$M$203,MATCH(B373,Planos_Contratos!$A$4:$A$203,0))),""))</x:f>
      </x:c>
      <x:c r="H373" s="112"/>
      <x:c r="I373" s="92" t="str">
        <x:f t="shared" si="11"/>
      </x:c>
      <x:c r="J373" s="68" t="str">
        <x:f>IF(B373="","",IFERROR(INDEX(Planos_Contratos!$I$4:$I$203,MATCH(B373,Planos_Contratos!$A$4:$A$203,0)),""))</x:f>
      </x:c>
      <x:c r="K373" s="70"/>
      <x:c r="L373" s="96" t="str">
        <x:f>IF(B373="","",IFERROR(INDEX(Planos_Contratos!$M$4:$M$203,MATCH(B373,Planos_Contratos!$A$4:$A$203,0)),""))</x:f>
      </x:c>
      <x:c r="M373" s="64"/>
    </x:row>
    <x:row r="374" ht="20" customHeight="1">
      <x:c r="A374" s="68" t="str">
        <x:f t="shared" si="10"/>
      </x:c>
      <x:c r="B374" s="64"/>
      <x:c r="C374" s="68" t="str">
        <x:f>IF(B374="","",IFERROR(INDEX(Planos_Contratos!$B$4:$B$203,MATCH(B374,Planos_Contratos!$A$4:$A$203,0)),""))</x:f>
      </x:c>
      <x:c r="D374" s="68" t="str">
        <x:f>IF(B374="","",IFERROR(INDEX(Planos_Contratos!$C$4:$C$203,MATCH(B374,Planos_Contratos!$A$4:$A$203,0)),""))</x:f>
      </x:c>
      <x:c r="E374" s="72"/>
      <x:c r="F374" s="72"/>
      <x:c r="G374" s="92" t="str">
        <x:f>IF(B374="","",IFERROR(INDEX(Planos_Contratos!$L$4:$L$203,MATCH(B374,Planos_Contratos!$A$4:$A$203,0))/MAX(1,INDEX(Planos_Contratos!$M$4:$M$203,MATCH(B374,Planos_Contratos!$A$4:$A$203,0))),""))</x:f>
      </x:c>
      <x:c r="H374" s="112"/>
      <x:c r="I374" s="92" t="str">
        <x:f t="shared" si="11"/>
      </x:c>
      <x:c r="J374" s="68" t="str">
        <x:f>IF(B374="","",IFERROR(INDEX(Planos_Contratos!$I$4:$I$203,MATCH(B374,Planos_Contratos!$A$4:$A$203,0)),""))</x:f>
      </x:c>
      <x:c r="K374" s="70"/>
      <x:c r="L374" s="96" t="str">
        <x:f>IF(B374="","",IFERROR(INDEX(Planos_Contratos!$M$4:$M$203,MATCH(B374,Planos_Contratos!$A$4:$A$203,0)),""))</x:f>
      </x:c>
      <x:c r="M374" s="64"/>
    </x:row>
    <x:row r="375" ht="20" customHeight="1">
      <x:c r="A375" s="68" t="str">
        <x:f t="shared" si="10"/>
      </x:c>
      <x:c r="B375" s="64"/>
      <x:c r="C375" s="68" t="str">
        <x:f>IF(B375="","",IFERROR(INDEX(Planos_Contratos!$B$4:$B$203,MATCH(B375,Planos_Contratos!$A$4:$A$203,0)),""))</x:f>
      </x:c>
      <x:c r="D375" s="68" t="str">
        <x:f>IF(B375="","",IFERROR(INDEX(Planos_Contratos!$C$4:$C$203,MATCH(B375,Planos_Contratos!$A$4:$A$203,0)),""))</x:f>
      </x:c>
      <x:c r="E375" s="72"/>
      <x:c r="F375" s="72"/>
      <x:c r="G375" s="92" t="str">
        <x:f>IF(B375="","",IFERROR(INDEX(Planos_Contratos!$L$4:$L$203,MATCH(B375,Planos_Contratos!$A$4:$A$203,0))/MAX(1,INDEX(Planos_Contratos!$M$4:$M$203,MATCH(B375,Planos_Contratos!$A$4:$A$203,0))),""))</x:f>
      </x:c>
      <x:c r="H375" s="112"/>
      <x:c r="I375" s="92" t="str">
        <x:f t="shared" si="11"/>
      </x:c>
      <x:c r="J375" s="68" t="str">
        <x:f>IF(B375="","",IFERROR(INDEX(Planos_Contratos!$I$4:$I$203,MATCH(B375,Planos_Contratos!$A$4:$A$203,0)),""))</x:f>
      </x:c>
      <x:c r="K375" s="70"/>
      <x:c r="L375" s="96" t="str">
        <x:f>IF(B375="","",IFERROR(INDEX(Planos_Contratos!$M$4:$M$203,MATCH(B375,Planos_Contratos!$A$4:$A$203,0)),""))</x:f>
      </x:c>
      <x:c r="M375" s="64"/>
    </x:row>
    <x:row r="376" ht="20" customHeight="1">
      <x:c r="A376" s="68" t="str">
        <x:f t="shared" si="10"/>
      </x:c>
      <x:c r="B376" s="64"/>
      <x:c r="C376" s="68" t="str">
        <x:f>IF(B376="","",IFERROR(INDEX(Planos_Contratos!$B$4:$B$203,MATCH(B376,Planos_Contratos!$A$4:$A$203,0)),""))</x:f>
      </x:c>
      <x:c r="D376" s="68" t="str">
        <x:f>IF(B376="","",IFERROR(INDEX(Planos_Contratos!$C$4:$C$203,MATCH(B376,Planos_Contratos!$A$4:$A$203,0)),""))</x:f>
      </x:c>
      <x:c r="E376" s="72"/>
      <x:c r="F376" s="72"/>
      <x:c r="G376" s="92" t="str">
        <x:f>IF(B376="","",IFERROR(INDEX(Planos_Contratos!$L$4:$L$203,MATCH(B376,Planos_Contratos!$A$4:$A$203,0))/MAX(1,INDEX(Planos_Contratos!$M$4:$M$203,MATCH(B376,Planos_Contratos!$A$4:$A$203,0))),""))</x:f>
      </x:c>
      <x:c r="H376" s="112"/>
      <x:c r="I376" s="92" t="str">
        <x:f t="shared" si="11"/>
      </x:c>
      <x:c r="J376" s="68" t="str">
        <x:f>IF(B376="","",IFERROR(INDEX(Planos_Contratos!$I$4:$I$203,MATCH(B376,Planos_Contratos!$A$4:$A$203,0)),""))</x:f>
      </x:c>
      <x:c r="K376" s="70"/>
      <x:c r="L376" s="96" t="str">
        <x:f>IF(B376="","",IFERROR(INDEX(Planos_Contratos!$M$4:$M$203,MATCH(B376,Planos_Contratos!$A$4:$A$203,0)),""))</x:f>
      </x:c>
      <x:c r="M376" s="64"/>
    </x:row>
    <x:row r="377" ht="20" customHeight="1">
      <x:c r="A377" s="68" t="str">
        <x:f t="shared" si="10"/>
      </x:c>
      <x:c r="B377" s="64"/>
      <x:c r="C377" s="68" t="str">
        <x:f>IF(B377="","",IFERROR(INDEX(Planos_Contratos!$B$4:$B$203,MATCH(B377,Planos_Contratos!$A$4:$A$203,0)),""))</x:f>
      </x:c>
      <x:c r="D377" s="68" t="str">
        <x:f>IF(B377="","",IFERROR(INDEX(Planos_Contratos!$C$4:$C$203,MATCH(B377,Planos_Contratos!$A$4:$A$203,0)),""))</x:f>
      </x:c>
      <x:c r="E377" s="72"/>
      <x:c r="F377" s="72"/>
      <x:c r="G377" s="92" t="str">
        <x:f>IF(B377="","",IFERROR(INDEX(Planos_Contratos!$L$4:$L$203,MATCH(B377,Planos_Contratos!$A$4:$A$203,0))/MAX(1,INDEX(Planos_Contratos!$M$4:$M$203,MATCH(B377,Planos_Contratos!$A$4:$A$203,0))),""))</x:f>
      </x:c>
      <x:c r="H377" s="112"/>
      <x:c r="I377" s="92" t="str">
        <x:f t="shared" si="11"/>
      </x:c>
      <x:c r="J377" s="68" t="str">
        <x:f>IF(B377="","",IFERROR(INDEX(Planos_Contratos!$I$4:$I$203,MATCH(B377,Planos_Contratos!$A$4:$A$203,0)),""))</x:f>
      </x:c>
      <x:c r="K377" s="70"/>
      <x:c r="L377" s="96" t="str">
        <x:f>IF(B377="","",IFERROR(INDEX(Planos_Contratos!$M$4:$M$203,MATCH(B377,Planos_Contratos!$A$4:$A$203,0)),""))</x:f>
      </x:c>
      <x:c r="M377" s="64"/>
    </x:row>
    <x:row r="378" ht="20" customHeight="1">
      <x:c r="A378" s="68" t="str">
        <x:f t="shared" si="10"/>
      </x:c>
      <x:c r="B378" s="64"/>
      <x:c r="C378" s="68" t="str">
        <x:f>IF(B378="","",IFERROR(INDEX(Planos_Contratos!$B$4:$B$203,MATCH(B378,Planos_Contratos!$A$4:$A$203,0)),""))</x:f>
      </x:c>
      <x:c r="D378" s="68" t="str">
        <x:f>IF(B378="","",IFERROR(INDEX(Planos_Contratos!$C$4:$C$203,MATCH(B378,Planos_Contratos!$A$4:$A$203,0)),""))</x:f>
      </x:c>
      <x:c r="E378" s="72"/>
      <x:c r="F378" s="72"/>
      <x:c r="G378" s="92" t="str">
        <x:f>IF(B378="","",IFERROR(INDEX(Planos_Contratos!$L$4:$L$203,MATCH(B378,Planos_Contratos!$A$4:$A$203,0))/MAX(1,INDEX(Planos_Contratos!$M$4:$M$203,MATCH(B378,Planos_Contratos!$A$4:$A$203,0))),""))</x:f>
      </x:c>
      <x:c r="H378" s="112"/>
      <x:c r="I378" s="92" t="str">
        <x:f t="shared" si="11"/>
      </x:c>
      <x:c r="J378" s="68" t="str">
        <x:f>IF(B378="","",IFERROR(INDEX(Planos_Contratos!$I$4:$I$203,MATCH(B378,Planos_Contratos!$A$4:$A$203,0)),""))</x:f>
      </x:c>
      <x:c r="K378" s="70"/>
      <x:c r="L378" s="96" t="str">
        <x:f>IF(B378="","",IFERROR(INDEX(Planos_Contratos!$M$4:$M$203,MATCH(B378,Planos_Contratos!$A$4:$A$203,0)),""))</x:f>
      </x:c>
      <x:c r="M378" s="64"/>
    </x:row>
    <x:row r="379" ht="20" customHeight="1">
      <x:c r="A379" s="68" t="str">
        <x:f t="shared" si="10"/>
      </x:c>
      <x:c r="B379" s="64"/>
      <x:c r="C379" s="68" t="str">
        <x:f>IF(B379="","",IFERROR(INDEX(Planos_Contratos!$B$4:$B$203,MATCH(B379,Planos_Contratos!$A$4:$A$203,0)),""))</x:f>
      </x:c>
      <x:c r="D379" s="68" t="str">
        <x:f>IF(B379="","",IFERROR(INDEX(Planos_Contratos!$C$4:$C$203,MATCH(B379,Planos_Contratos!$A$4:$A$203,0)),""))</x:f>
      </x:c>
      <x:c r="E379" s="72"/>
      <x:c r="F379" s="72"/>
      <x:c r="G379" s="92" t="str">
        <x:f>IF(B379="","",IFERROR(INDEX(Planos_Contratos!$L$4:$L$203,MATCH(B379,Planos_Contratos!$A$4:$A$203,0))/MAX(1,INDEX(Planos_Contratos!$M$4:$M$203,MATCH(B379,Planos_Contratos!$A$4:$A$203,0))),""))</x:f>
      </x:c>
      <x:c r="H379" s="112"/>
      <x:c r="I379" s="92" t="str">
        <x:f t="shared" si="11"/>
      </x:c>
      <x:c r="J379" s="68" t="str">
        <x:f>IF(B379="","",IFERROR(INDEX(Planos_Contratos!$I$4:$I$203,MATCH(B379,Planos_Contratos!$A$4:$A$203,0)),""))</x:f>
      </x:c>
      <x:c r="K379" s="70"/>
      <x:c r="L379" s="96" t="str">
        <x:f>IF(B379="","",IFERROR(INDEX(Planos_Contratos!$M$4:$M$203,MATCH(B379,Planos_Contratos!$A$4:$A$203,0)),""))</x:f>
      </x:c>
      <x:c r="M379" s="64"/>
    </x:row>
    <x:row r="380" ht="20" customHeight="1">
      <x:c r="A380" s="68" t="str">
        <x:f t="shared" si="10"/>
      </x:c>
      <x:c r="B380" s="64"/>
      <x:c r="C380" s="68" t="str">
        <x:f>IF(B380="","",IFERROR(INDEX(Planos_Contratos!$B$4:$B$203,MATCH(B380,Planos_Contratos!$A$4:$A$203,0)),""))</x:f>
      </x:c>
      <x:c r="D380" s="68" t="str">
        <x:f>IF(B380="","",IFERROR(INDEX(Planos_Contratos!$C$4:$C$203,MATCH(B380,Planos_Contratos!$A$4:$A$203,0)),""))</x:f>
      </x:c>
      <x:c r="E380" s="72"/>
      <x:c r="F380" s="72"/>
      <x:c r="G380" s="92" t="str">
        <x:f>IF(B380="","",IFERROR(INDEX(Planos_Contratos!$L$4:$L$203,MATCH(B380,Planos_Contratos!$A$4:$A$203,0))/MAX(1,INDEX(Planos_Contratos!$M$4:$M$203,MATCH(B380,Planos_Contratos!$A$4:$A$203,0))),""))</x:f>
      </x:c>
      <x:c r="H380" s="112"/>
      <x:c r="I380" s="92" t="str">
        <x:f t="shared" si="11"/>
      </x:c>
      <x:c r="J380" s="68" t="str">
        <x:f>IF(B380="","",IFERROR(INDEX(Planos_Contratos!$I$4:$I$203,MATCH(B380,Planos_Contratos!$A$4:$A$203,0)),""))</x:f>
      </x:c>
      <x:c r="K380" s="70"/>
      <x:c r="L380" s="96" t="str">
        <x:f>IF(B380="","",IFERROR(INDEX(Planos_Contratos!$M$4:$M$203,MATCH(B380,Planos_Contratos!$A$4:$A$203,0)),""))</x:f>
      </x:c>
      <x:c r="M380" s="64"/>
    </x:row>
    <x:row r="381" ht="20" customHeight="1">
      <x:c r="A381" s="68" t="str">
        <x:f t="shared" si="10"/>
      </x:c>
      <x:c r="B381" s="64"/>
      <x:c r="C381" s="68" t="str">
        <x:f>IF(B381="","",IFERROR(INDEX(Planos_Contratos!$B$4:$B$203,MATCH(B381,Planos_Contratos!$A$4:$A$203,0)),""))</x:f>
      </x:c>
      <x:c r="D381" s="68" t="str">
        <x:f>IF(B381="","",IFERROR(INDEX(Planos_Contratos!$C$4:$C$203,MATCH(B381,Planos_Contratos!$A$4:$A$203,0)),""))</x:f>
      </x:c>
      <x:c r="E381" s="72"/>
      <x:c r="F381" s="72"/>
      <x:c r="G381" s="92" t="str">
        <x:f>IF(B381="","",IFERROR(INDEX(Planos_Contratos!$L$4:$L$203,MATCH(B381,Planos_Contratos!$A$4:$A$203,0))/MAX(1,INDEX(Planos_Contratos!$M$4:$M$203,MATCH(B381,Planos_Contratos!$A$4:$A$203,0))),""))</x:f>
      </x:c>
      <x:c r="H381" s="112"/>
      <x:c r="I381" s="92" t="str">
        <x:f t="shared" si="11"/>
      </x:c>
      <x:c r="J381" s="68" t="str">
        <x:f>IF(B381="","",IFERROR(INDEX(Planos_Contratos!$I$4:$I$203,MATCH(B381,Planos_Contratos!$A$4:$A$203,0)),""))</x:f>
      </x:c>
      <x:c r="K381" s="70"/>
      <x:c r="L381" s="96" t="str">
        <x:f>IF(B381="","",IFERROR(INDEX(Planos_Contratos!$M$4:$M$203,MATCH(B381,Planos_Contratos!$A$4:$A$203,0)),""))</x:f>
      </x:c>
      <x:c r="M381" s="64"/>
    </x:row>
    <x:row r="382" ht="20" customHeight="1">
      <x:c r="A382" s="68" t="str">
        <x:f t="shared" si="10"/>
      </x:c>
      <x:c r="B382" s="64"/>
      <x:c r="C382" s="68" t="str">
        <x:f>IF(B382="","",IFERROR(INDEX(Planos_Contratos!$B$4:$B$203,MATCH(B382,Planos_Contratos!$A$4:$A$203,0)),""))</x:f>
      </x:c>
      <x:c r="D382" s="68" t="str">
        <x:f>IF(B382="","",IFERROR(INDEX(Planos_Contratos!$C$4:$C$203,MATCH(B382,Planos_Contratos!$A$4:$A$203,0)),""))</x:f>
      </x:c>
      <x:c r="E382" s="72"/>
      <x:c r="F382" s="72"/>
      <x:c r="G382" s="92" t="str">
        <x:f>IF(B382="","",IFERROR(INDEX(Planos_Contratos!$L$4:$L$203,MATCH(B382,Planos_Contratos!$A$4:$A$203,0))/MAX(1,INDEX(Planos_Contratos!$M$4:$M$203,MATCH(B382,Planos_Contratos!$A$4:$A$203,0))),""))</x:f>
      </x:c>
      <x:c r="H382" s="112"/>
      <x:c r="I382" s="92" t="str">
        <x:f t="shared" si="11"/>
      </x:c>
      <x:c r="J382" s="68" t="str">
        <x:f>IF(B382="","",IFERROR(INDEX(Planos_Contratos!$I$4:$I$203,MATCH(B382,Planos_Contratos!$A$4:$A$203,0)),""))</x:f>
      </x:c>
      <x:c r="K382" s="70"/>
      <x:c r="L382" s="96" t="str">
        <x:f>IF(B382="","",IFERROR(INDEX(Planos_Contratos!$M$4:$M$203,MATCH(B382,Planos_Contratos!$A$4:$A$203,0)),""))</x:f>
      </x:c>
      <x:c r="M382" s="64"/>
    </x:row>
    <x:row r="383" ht="20" customHeight="1">
      <x:c r="A383" s="68" t="str">
        <x:f t="shared" si="10"/>
      </x:c>
      <x:c r="B383" s="64"/>
      <x:c r="C383" s="68" t="str">
        <x:f>IF(B383="","",IFERROR(INDEX(Planos_Contratos!$B$4:$B$203,MATCH(B383,Planos_Contratos!$A$4:$A$203,0)),""))</x:f>
      </x:c>
      <x:c r="D383" s="68" t="str">
        <x:f>IF(B383="","",IFERROR(INDEX(Planos_Contratos!$C$4:$C$203,MATCH(B383,Planos_Contratos!$A$4:$A$203,0)),""))</x:f>
      </x:c>
      <x:c r="E383" s="72"/>
      <x:c r="F383" s="72"/>
      <x:c r="G383" s="92" t="str">
        <x:f>IF(B383="","",IFERROR(INDEX(Planos_Contratos!$L$4:$L$203,MATCH(B383,Planos_Contratos!$A$4:$A$203,0))/MAX(1,INDEX(Planos_Contratos!$M$4:$M$203,MATCH(B383,Planos_Contratos!$A$4:$A$203,0))),""))</x:f>
      </x:c>
      <x:c r="H383" s="112"/>
      <x:c r="I383" s="92" t="str">
        <x:f t="shared" si="11"/>
      </x:c>
      <x:c r="J383" s="68" t="str">
        <x:f>IF(B383="","",IFERROR(INDEX(Planos_Contratos!$I$4:$I$203,MATCH(B383,Planos_Contratos!$A$4:$A$203,0)),""))</x:f>
      </x:c>
      <x:c r="K383" s="70"/>
      <x:c r="L383" s="96" t="str">
        <x:f>IF(B383="","",IFERROR(INDEX(Planos_Contratos!$M$4:$M$203,MATCH(B383,Planos_Contratos!$A$4:$A$203,0)),""))</x:f>
      </x:c>
      <x:c r="M383" s="64"/>
    </x:row>
    <x:row r="384" ht="20" customHeight="1">
      <x:c r="A384" s="68" t="str">
        <x:f t="shared" si="10"/>
      </x:c>
      <x:c r="B384" s="64"/>
      <x:c r="C384" s="68" t="str">
        <x:f>IF(B384="","",IFERROR(INDEX(Planos_Contratos!$B$4:$B$203,MATCH(B384,Planos_Contratos!$A$4:$A$203,0)),""))</x:f>
      </x:c>
      <x:c r="D384" s="68" t="str">
        <x:f>IF(B384="","",IFERROR(INDEX(Planos_Contratos!$C$4:$C$203,MATCH(B384,Planos_Contratos!$A$4:$A$203,0)),""))</x:f>
      </x:c>
      <x:c r="E384" s="72"/>
      <x:c r="F384" s="72"/>
      <x:c r="G384" s="92" t="str">
        <x:f>IF(B384="","",IFERROR(INDEX(Planos_Contratos!$L$4:$L$203,MATCH(B384,Planos_Contratos!$A$4:$A$203,0))/MAX(1,INDEX(Planos_Contratos!$M$4:$M$203,MATCH(B384,Planos_Contratos!$A$4:$A$203,0))),""))</x:f>
      </x:c>
      <x:c r="H384" s="112"/>
      <x:c r="I384" s="92" t="str">
        <x:f t="shared" si="11"/>
      </x:c>
      <x:c r="J384" s="68" t="str">
        <x:f>IF(B384="","",IFERROR(INDEX(Planos_Contratos!$I$4:$I$203,MATCH(B384,Planos_Contratos!$A$4:$A$203,0)),""))</x:f>
      </x:c>
      <x:c r="K384" s="70"/>
      <x:c r="L384" s="96" t="str">
        <x:f>IF(B384="","",IFERROR(INDEX(Planos_Contratos!$M$4:$M$203,MATCH(B384,Planos_Contratos!$A$4:$A$203,0)),""))</x:f>
      </x:c>
      <x:c r="M384" s="64"/>
    </x:row>
    <x:row r="385" ht="20" customHeight="1">
      <x:c r="A385" s="68" t="str">
        <x:f t="shared" si="10"/>
      </x:c>
      <x:c r="B385" s="64"/>
      <x:c r="C385" s="68" t="str">
        <x:f>IF(B385="","",IFERROR(INDEX(Planos_Contratos!$B$4:$B$203,MATCH(B385,Planos_Contratos!$A$4:$A$203,0)),""))</x:f>
      </x:c>
      <x:c r="D385" s="68" t="str">
        <x:f>IF(B385="","",IFERROR(INDEX(Planos_Contratos!$C$4:$C$203,MATCH(B385,Planos_Contratos!$A$4:$A$203,0)),""))</x:f>
      </x:c>
      <x:c r="E385" s="72"/>
      <x:c r="F385" s="72"/>
      <x:c r="G385" s="92" t="str">
        <x:f>IF(B385="","",IFERROR(INDEX(Planos_Contratos!$L$4:$L$203,MATCH(B385,Planos_Contratos!$A$4:$A$203,0))/MAX(1,INDEX(Planos_Contratos!$M$4:$M$203,MATCH(B385,Planos_Contratos!$A$4:$A$203,0))),""))</x:f>
      </x:c>
      <x:c r="H385" s="112"/>
      <x:c r="I385" s="92" t="str">
        <x:f t="shared" si="11"/>
      </x:c>
      <x:c r="J385" s="68" t="str">
        <x:f>IF(B385="","",IFERROR(INDEX(Planos_Contratos!$I$4:$I$203,MATCH(B385,Planos_Contratos!$A$4:$A$203,0)),""))</x:f>
      </x:c>
      <x:c r="K385" s="70"/>
      <x:c r="L385" s="96" t="str">
        <x:f>IF(B385="","",IFERROR(INDEX(Planos_Contratos!$M$4:$M$203,MATCH(B385,Planos_Contratos!$A$4:$A$203,0)),""))</x:f>
      </x:c>
      <x:c r="M385" s="64"/>
    </x:row>
    <x:row r="386" ht="20" customHeight="1">
      <x:c r="A386" s="68" t="str">
        <x:f t="shared" si="10"/>
      </x:c>
      <x:c r="B386" s="64"/>
      <x:c r="C386" s="68" t="str">
        <x:f>IF(B386="","",IFERROR(INDEX(Planos_Contratos!$B$4:$B$203,MATCH(B386,Planos_Contratos!$A$4:$A$203,0)),""))</x:f>
      </x:c>
      <x:c r="D386" s="68" t="str">
        <x:f>IF(B386="","",IFERROR(INDEX(Planos_Contratos!$C$4:$C$203,MATCH(B386,Planos_Contratos!$A$4:$A$203,0)),""))</x:f>
      </x:c>
      <x:c r="E386" s="72"/>
      <x:c r="F386" s="72"/>
      <x:c r="G386" s="92" t="str">
        <x:f>IF(B386="","",IFERROR(INDEX(Planos_Contratos!$L$4:$L$203,MATCH(B386,Planos_Contratos!$A$4:$A$203,0))/MAX(1,INDEX(Planos_Contratos!$M$4:$M$203,MATCH(B386,Planos_Contratos!$A$4:$A$203,0))),""))</x:f>
      </x:c>
      <x:c r="H386" s="112"/>
      <x:c r="I386" s="92" t="str">
        <x:f t="shared" si="11"/>
      </x:c>
      <x:c r="J386" s="68" t="str">
        <x:f>IF(B386="","",IFERROR(INDEX(Planos_Contratos!$I$4:$I$203,MATCH(B386,Planos_Contratos!$A$4:$A$203,0)),""))</x:f>
      </x:c>
      <x:c r="K386" s="70"/>
      <x:c r="L386" s="96" t="str">
        <x:f>IF(B386="","",IFERROR(INDEX(Planos_Contratos!$M$4:$M$203,MATCH(B386,Planos_Contratos!$A$4:$A$203,0)),""))</x:f>
      </x:c>
      <x:c r="M386" s="64"/>
    </x:row>
    <x:row r="387" ht="20" customHeight="1">
      <x:c r="A387" s="68" t="str">
        <x:f t="shared" si="10"/>
      </x:c>
      <x:c r="B387" s="64"/>
      <x:c r="C387" s="68" t="str">
        <x:f>IF(B387="","",IFERROR(INDEX(Planos_Contratos!$B$4:$B$203,MATCH(B387,Planos_Contratos!$A$4:$A$203,0)),""))</x:f>
      </x:c>
      <x:c r="D387" s="68" t="str">
        <x:f>IF(B387="","",IFERROR(INDEX(Planos_Contratos!$C$4:$C$203,MATCH(B387,Planos_Contratos!$A$4:$A$203,0)),""))</x:f>
      </x:c>
      <x:c r="E387" s="72"/>
      <x:c r="F387" s="72"/>
      <x:c r="G387" s="92" t="str">
        <x:f>IF(B387="","",IFERROR(INDEX(Planos_Contratos!$L$4:$L$203,MATCH(B387,Planos_Contratos!$A$4:$A$203,0))/MAX(1,INDEX(Planos_Contratos!$M$4:$M$203,MATCH(B387,Planos_Contratos!$A$4:$A$203,0))),""))</x:f>
      </x:c>
      <x:c r="H387" s="112"/>
      <x:c r="I387" s="92" t="str">
        <x:f t="shared" si="11"/>
      </x:c>
      <x:c r="J387" s="68" t="str">
        <x:f>IF(B387="","",IFERROR(INDEX(Planos_Contratos!$I$4:$I$203,MATCH(B387,Planos_Contratos!$A$4:$A$203,0)),""))</x:f>
      </x:c>
      <x:c r="K387" s="70"/>
      <x:c r="L387" s="96" t="str">
        <x:f>IF(B387="","",IFERROR(INDEX(Planos_Contratos!$M$4:$M$203,MATCH(B387,Planos_Contratos!$A$4:$A$203,0)),""))</x:f>
      </x:c>
      <x:c r="M387" s="64"/>
    </x:row>
    <x:row r="388" ht="20" customHeight="1">
      <x:c r="A388" s="68" t="str">
        <x:f t="shared" ref="A388:A403" si="12">IF(B388="","",ROW()-3)</x:f>
      </x:c>
      <x:c r="B388" s="64"/>
      <x:c r="C388" s="68" t="str">
        <x:f>IF(B388="","",IFERROR(INDEX(Planos_Contratos!$B$4:$B$203,MATCH(B388,Planos_Contratos!$A$4:$A$203,0)),""))</x:f>
      </x:c>
      <x:c r="D388" s="68" t="str">
        <x:f>IF(B388="","",IFERROR(INDEX(Planos_Contratos!$C$4:$C$203,MATCH(B388,Planos_Contratos!$A$4:$A$203,0)),""))</x:f>
      </x:c>
      <x:c r="E388" s="72"/>
      <x:c r="F388" s="72"/>
      <x:c r="G388" s="92" t="str">
        <x:f>IF(B388="","",IFERROR(INDEX(Planos_Contratos!$L$4:$L$203,MATCH(B388,Planos_Contratos!$A$4:$A$203,0))/MAX(1,INDEX(Planos_Contratos!$M$4:$M$203,MATCH(B388,Planos_Contratos!$A$4:$A$203,0))),""))</x:f>
      </x:c>
      <x:c r="H388" s="112"/>
      <x:c r="I388" s="92" t="str">
        <x:f t="shared" ref="I388:I403" si="13">IF(G388="","",G388-H388)</x:f>
      </x:c>
      <x:c r="J388" s="68" t="str">
        <x:f>IF(B388="","",IFERROR(INDEX(Planos_Contratos!$I$4:$I$203,MATCH(B388,Planos_Contratos!$A$4:$A$203,0)),""))</x:f>
      </x:c>
      <x:c r="K388" s="70"/>
      <x:c r="L388" s="96" t="str">
        <x:f>IF(B388="","",IFERROR(INDEX(Planos_Contratos!$M$4:$M$203,MATCH(B388,Planos_Contratos!$A$4:$A$203,0)),""))</x:f>
      </x:c>
      <x:c r="M388" s="64"/>
    </x:row>
    <x:row r="389" ht="20" customHeight="1">
      <x:c r="A389" s="68" t="str">
        <x:f t="shared" si="12"/>
      </x:c>
      <x:c r="B389" s="64"/>
      <x:c r="C389" s="68" t="str">
        <x:f>IF(B389="","",IFERROR(INDEX(Planos_Contratos!$B$4:$B$203,MATCH(B389,Planos_Contratos!$A$4:$A$203,0)),""))</x:f>
      </x:c>
      <x:c r="D389" s="68" t="str">
        <x:f>IF(B389="","",IFERROR(INDEX(Planos_Contratos!$C$4:$C$203,MATCH(B389,Planos_Contratos!$A$4:$A$203,0)),""))</x:f>
      </x:c>
      <x:c r="E389" s="72"/>
      <x:c r="F389" s="72"/>
      <x:c r="G389" s="92" t="str">
        <x:f>IF(B389="","",IFERROR(INDEX(Planos_Contratos!$L$4:$L$203,MATCH(B389,Planos_Contratos!$A$4:$A$203,0))/MAX(1,INDEX(Planos_Contratos!$M$4:$M$203,MATCH(B389,Planos_Contratos!$A$4:$A$203,0))),""))</x:f>
      </x:c>
      <x:c r="H389" s="112"/>
      <x:c r="I389" s="92" t="str">
        <x:f t="shared" si="13"/>
      </x:c>
      <x:c r="J389" s="68" t="str">
        <x:f>IF(B389="","",IFERROR(INDEX(Planos_Contratos!$I$4:$I$203,MATCH(B389,Planos_Contratos!$A$4:$A$203,0)),""))</x:f>
      </x:c>
      <x:c r="K389" s="70"/>
      <x:c r="L389" s="96" t="str">
        <x:f>IF(B389="","",IFERROR(INDEX(Planos_Contratos!$M$4:$M$203,MATCH(B389,Planos_Contratos!$A$4:$A$203,0)),""))</x:f>
      </x:c>
      <x:c r="M389" s="64"/>
    </x:row>
    <x:row r="390" ht="20" customHeight="1">
      <x:c r="A390" s="68" t="str">
        <x:f t="shared" si="12"/>
      </x:c>
      <x:c r="B390" s="64"/>
      <x:c r="C390" s="68" t="str">
        <x:f>IF(B390="","",IFERROR(INDEX(Planos_Contratos!$B$4:$B$203,MATCH(B390,Planos_Contratos!$A$4:$A$203,0)),""))</x:f>
      </x:c>
      <x:c r="D390" s="68" t="str">
        <x:f>IF(B390="","",IFERROR(INDEX(Planos_Contratos!$C$4:$C$203,MATCH(B390,Planos_Contratos!$A$4:$A$203,0)),""))</x:f>
      </x:c>
      <x:c r="E390" s="72"/>
      <x:c r="F390" s="72"/>
      <x:c r="G390" s="92" t="str">
        <x:f>IF(B390="","",IFERROR(INDEX(Planos_Contratos!$L$4:$L$203,MATCH(B390,Planos_Contratos!$A$4:$A$203,0))/MAX(1,INDEX(Planos_Contratos!$M$4:$M$203,MATCH(B390,Planos_Contratos!$A$4:$A$203,0))),""))</x:f>
      </x:c>
      <x:c r="H390" s="112"/>
      <x:c r="I390" s="92" t="str">
        <x:f t="shared" si="13"/>
      </x:c>
      <x:c r="J390" s="68" t="str">
        <x:f>IF(B390="","",IFERROR(INDEX(Planos_Contratos!$I$4:$I$203,MATCH(B390,Planos_Contratos!$A$4:$A$203,0)),""))</x:f>
      </x:c>
      <x:c r="K390" s="70"/>
      <x:c r="L390" s="96" t="str">
        <x:f>IF(B390="","",IFERROR(INDEX(Planos_Contratos!$M$4:$M$203,MATCH(B390,Planos_Contratos!$A$4:$A$203,0)),""))</x:f>
      </x:c>
      <x:c r="M390" s="64"/>
    </x:row>
    <x:row r="391" ht="20" customHeight="1">
      <x:c r="A391" s="68" t="str">
        <x:f t="shared" si="12"/>
      </x:c>
      <x:c r="B391" s="64"/>
      <x:c r="C391" s="68" t="str">
        <x:f>IF(B391="","",IFERROR(INDEX(Planos_Contratos!$B$4:$B$203,MATCH(B391,Planos_Contratos!$A$4:$A$203,0)),""))</x:f>
      </x:c>
      <x:c r="D391" s="68" t="str">
        <x:f>IF(B391="","",IFERROR(INDEX(Planos_Contratos!$C$4:$C$203,MATCH(B391,Planos_Contratos!$A$4:$A$203,0)),""))</x:f>
      </x:c>
      <x:c r="E391" s="72"/>
      <x:c r="F391" s="72"/>
      <x:c r="G391" s="92" t="str">
        <x:f>IF(B391="","",IFERROR(INDEX(Planos_Contratos!$L$4:$L$203,MATCH(B391,Planos_Contratos!$A$4:$A$203,0))/MAX(1,INDEX(Planos_Contratos!$M$4:$M$203,MATCH(B391,Planos_Contratos!$A$4:$A$203,0))),""))</x:f>
      </x:c>
      <x:c r="H391" s="112"/>
      <x:c r="I391" s="92" t="str">
        <x:f t="shared" si="13"/>
      </x:c>
      <x:c r="J391" s="68" t="str">
        <x:f>IF(B391="","",IFERROR(INDEX(Planos_Contratos!$I$4:$I$203,MATCH(B391,Planos_Contratos!$A$4:$A$203,0)),""))</x:f>
      </x:c>
      <x:c r="K391" s="70"/>
      <x:c r="L391" s="96" t="str">
        <x:f>IF(B391="","",IFERROR(INDEX(Planos_Contratos!$M$4:$M$203,MATCH(B391,Planos_Contratos!$A$4:$A$203,0)),""))</x:f>
      </x:c>
      <x:c r="M391" s="64"/>
    </x:row>
    <x:row r="392" ht="20" customHeight="1">
      <x:c r="A392" s="68" t="str">
        <x:f t="shared" si="12"/>
      </x:c>
      <x:c r="B392" s="64"/>
      <x:c r="C392" s="68" t="str">
        <x:f>IF(B392="","",IFERROR(INDEX(Planos_Contratos!$B$4:$B$203,MATCH(B392,Planos_Contratos!$A$4:$A$203,0)),""))</x:f>
      </x:c>
      <x:c r="D392" s="68" t="str">
        <x:f>IF(B392="","",IFERROR(INDEX(Planos_Contratos!$C$4:$C$203,MATCH(B392,Planos_Contratos!$A$4:$A$203,0)),""))</x:f>
      </x:c>
      <x:c r="E392" s="72"/>
      <x:c r="F392" s="72"/>
      <x:c r="G392" s="92" t="str">
        <x:f>IF(B392="","",IFERROR(INDEX(Planos_Contratos!$L$4:$L$203,MATCH(B392,Planos_Contratos!$A$4:$A$203,0))/MAX(1,INDEX(Planos_Contratos!$M$4:$M$203,MATCH(B392,Planos_Contratos!$A$4:$A$203,0))),""))</x:f>
      </x:c>
      <x:c r="H392" s="112"/>
      <x:c r="I392" s="92" t="str">
        <x:f t="shared" si="13"/>
      </x:c>
      <x:c r="J392" s="68" t="str">
        <x:f>IF(B392="","",IFERROR(INDEX(Planos_Contratos!$I$4:$I$203,MATCH(B392,Planos_Contratos!$A$4:$A$203,0)),""))</x:f>
      </x:c>
      <x:c r="K392" s="70"/>
      <x:c r="L392" s="96" t="str">
        <x:f>IF(B392="","",IFERROR(INDEX(Planos_Contratos!$M$4:$M$203,MATCH(B392,Planos_Contratos!$A$4:$A$203,0)),""))</x:f>
      </x:c>
      <x:c r="M392" s="64"/>
    </x:row>
    <x:row r="393" ht="20" customHeight="1">
      <x:c r="A393" s="68" t="str">
        <x:f t="shared" si="12"/>
      </x:c>
      <x:c r="B393" s="64"/>
      <x:c r="C393" s="68" t="str">
        <x:f>IF(B393="","",IFERROR(INDEX(Planos_Contratos!$B$4:$B$203,MATCH(B393,Planos_Contratos!$A$4:$A$203,0)),""))</x:f>
      </x:c>
      <x:c r="D393" s="68" t="str">
        <x:f>IF(B393="","",IFERROR(INDEX(Planos_Contratos!$C$4:$C$203,MATCH(B393,Planos_Contratos!$A$4:$A$203,0)),""))</x:f>
      </x:c>
      <x:c r="E393" s="72"/>
      <x:c r="F393" s="72"/>
      <x:c r="G393" s="92" t="str">
        <x:f>IF(B393="","",IFERROR(INDEX(Planos_Contratos!$L$4:$L$203,MATCH(B393,Planos_Contratos!$A$4:$A$203,0))/MAX(1,INDEX(Planos_Contratos!$M$4:$M$203,MATCH(B393,Planos_Contratos!$A$4:$A$203,0))),""))</x:f>
      </x:c>
      <x:c r="H393" s="112"/>
      <x:c r="I393" s="92" t="str">
        <x:f t="shared" si="13"/>
      </x:c>
      <x:c r="J393" s="68" t="str">
        <x:f>IF(B393="","",IFERROR(INDEX(Planos_Contratos!$I$4:$I$203,MATCH(B393,Planos_Contratos!$A$4:$A$203,0)),""))</x:f>
      </x:c>
      <x:c r="K393" s="70"/>
      <x:c r="L393" s="96" t="str">
        <x:f>IF(B393="","",IFERROR(INDEX(Planos_Contratos!$M$4:$M$203,MATCH(B393,Planos_Contratos!$A$4:$A$203,0)),""))</x:f>
      </x:c>
      <x:c r="M393" s="64"/>
    </x:row>
    <x:row r="394" ht="20" customHeight="1">
      <x:c r="A394" s="68" t="str">
        <x:f t="shared" si="12"/>
      </x:c>
      <x:c r="B394" s="64"/>
      <x:c r="C394" s="68" t="str">
        <x:f>IF(B394="","",IFERROR(INDEX(Planos_Contratos!$B$4:$B$203,MATCH(B394,Planos_Contratos!$A$4:$A$203,0)),""))</x:f>
      </x:c>
      <x:c r="D394" s="68" t="str">
        <x:f>IF(B394="","",IFERROR(INDEX(Planos_Contratos!$C$4:$C$203,MATCH(B394,Planos_Contratos!$A$4:$A$203,0)),""))</x:f>
      </x:c>
      <x:c r="E394" s="72"/>
      <x:c r="F394" s="72"/>
      <x:c r="G394" s="92" t="str">
        <x:f>IF(B394="","",IFERROR(INDEX(Planos_Contratos!$L$4:$L$203,MATCH(B394,Planos_Contratos!$A$4:$A$203,0))/MAX(1,INDEX(Planos_Contratos!$M$4:$M$203,MATCH(B394,Planos_Contratos!$A$4:$A$203,0))),""))</x:f>
      </x:c>
      <x:c r="H394" s="112"/>
      <x:c r="I394" s="92" t="str">
        <x:f t="shared" si="13"/>
      </x:c>
      <x:c r="J394" s="68" t="str">
        <x:f>IF(B394="","",IFERROR(INDEX(Planos_Contratos!$I$4:$I$203,MATCH(B394,Planos_Contratos!$A$4:$A$203,0)),""))</x:f>
      </x:c>
      <x:c r="K394" s="70"/>
      <x:c r="L394" s="96" t="str">
        <x:f>IF(B394="","",IFERROR(INDEX(Planos_Contratos!$M$4:$M$203,MATCH(B394,Planos_Contratos!$A$4:$A$203,0)),""))</x:f>
      </x:c>
      <x:c r="M394" s="64"/>
    </x:row>
    <x:row r="395" ht="20" customHeight="1">
      <x:c r="A395" s="68" t="str">
        <x:f t="shared" si="12"/>
      </x:c>
      <x:c r="B395" s="64"/>
      <x:c r="C395" s="68" t="str">
        <x:f>IF(B395="","",IFERROR(INDEX(Planos_Contratos!$B$4:$B$203,MATCH(B395,Planos_Contratos!$A$4:$A$203,0)),""))</x:f>
      </x:c>
      <x:c r="D395" s="68" t="str">
        <x:f>IF(B395="","",IFERROR(INDEX(Planos_Contratos!$C$4:$C$203,MATCH(B395,Planos_Contratos!$A$4:$A$203,0)),""))</x:f>
      </x:c>
      <x:c r="E395" s="72"/>
      <x:c r="F395" s="72"/>
      <x:c r="G395" s="92" t="str">
        <x:f>IF(B395="","",IFERROR(INDEX(Planos_Contratos!$L$4:$L$203,MATCH(B395,Planos_Contratos!$A$4:$A$203,0))/MAX(1,INDEX(Planos_Contratos!$M$4:$M$203,MATCH(B395,Planos_Contratos!$A$4:$A$203,0))),""))</x:f>
      </x:c>
      <x:c r="H395" s="112"/>
      <x:c r="I395" s="92" t="str">
        <x:f t="shared" si="13"/>
      </x:c>
      <x:c r="J395" s="68" t="str">
        <x:f>IF(B395="","",IFERROR(INDEX(Planos_Contratos!$I$4:$I$203,MATCH(B395,Planos_Contratos!$A$4:$A$203,0)),""))</x:f>
      </x:c>
      <x:c r="K395" s="70"/>
      <x:c r="L395" s="96" t="str">
        <x:f>IF(B395="","",IFERROR(INDEX(Planos_Contratos!$M$4:$M$203,MATCH(B395,Planos_Contratos!$A$4:$A$203,0)),""))</x:f>
      </x:c>
      <x:c r="M395" s="64"/>
    </x:row>
    <x:row r="396" ht="20" customHeight="1">
      <x:c r="A396" s="68" t="str">
        <x:f t="shared" si="12"/>
      </x:c>
      <x:c r="B396" s="64"/>
      <x:c r="C396" s="68" t="str">
        <x:f>IF(B396="","",IFERROR(INDEX(Planos_Contratos!$B$4:$B$203,MATCH(B396,Planos_Contratos!$A$4:$A$203,0)),""))</x:f>
      </x:c>
      <x:c r="D396" s="68" t="str">
        <x:f>IF(B396="","",IFERROR(INDEX(Planos_Contratos!$C$4:$C$203,MATCH(B396,Planos_Contratos!$A$4:$A$203,0)),""))</x:f>
      </x:c>
      <x:c r="E396" s="72"/>
      <x:c r="F396" s="72"/>
      <x:c r="G396" s="92" t="str">
        <x:f>IF(B396="","",IFERROR(INDEX(Planos_Contratos!$L$4:$L$203,MATCH(B396,Planos_Contratos!$A$4:$A$203,0))/MAX(1,INDEX(Planos_Contratos!$M$4:$M$203,MATCH(B396,Planos_Contratos!$A$4:$A$203,0))),""))</x:f>
      </x:c>
      <x:c r="H396" s="112"/>
      <x:c r="I396" s="92" t="str">
        <x:f t="shared" si="13"/>
      </x:c>
      <x:c r="J396" s="68" t="str">
        <x:f>IF(B396="","",IFERROR(INDEX(Planos_Contratos!$I$4:$I$203,MATCH(B396,Planos_Contratos!$A$4:$A$203,0)),""))</x:f>
      </x:c>
      <x:c r="K396" s="70"/>
      <x:c r="L396" s="96" t="str">
        <x:f>IF(B396="","",IFERROR(INDEX(Planos_Contratos!$M$4:$M$203,MATCH(B396,Planos_Contratos!$A$4:$A$203,0)),""))</x:f>
      </x:c>
      <x:c r="M396" s="64"/>
    </x:row>
    <x:row r="397" ht="20" customHeight="1">
      <x:c r="A397" s="68" t="str">
        <x:f t="shared" si="12"/>
      </x:c>
      <x:c r="B397" s="64"/>
      <x:c r="C397" s="68" t="str">
        <x:f>IF(B397="","",IFERROR(INDEX(Planos_Contratos!$B$4:$B$203,MATCH(B397,Planos_Contratos!$A$4:$A$203,0)),""))</x:f>
      </x:c>
      <x:c r="D397" s="68" t="str">
        <x:f>IF(B397="","",IFERROR(INDEX(Planos_Contratos!$C$4:$C$203,MATCH(B397,Planos_Contratos!$A$4:$A$203,0)),""))</x:f>
      </x:c>
      <x:c r="E397" s="72"/>
      <x:c r="F397" s="72"/>
      <x:c r="G397" s="92" t="str">
        <x:f>IF(B397="","",IFERROR(INDEX(Planos_Contratos!$L$4:$L$203,MATCH(B397,Planos_Contratos!$A$4:$A$203,0))/MAX(1,INDEX(Planos_Contratos!$M$4:$M$203,MATCH(B397,Planos_Contratos!$A$4:$A$203,0))),""))</x:f>
      </x:c>
      <x:c r="H397" s="112"/>
      <x:c r="I397" s="92" t="str">
        <x:f t="shared" si="13"/>
      </x:c>
      <x:c r="J397" s="68" t="str">
        <x:f>IF(B397="","",IFERROR(INDEX(Planos_Contratos!$I$4:$I$203,MATCH(B397,Planos_Contratos!$A$4:$A$203,0)),""))</x:f>
      </x:c>
      <x:c r="K397" s="70"/>
      <x:c r="L397" s="96" t="str">
        <x:f>IF(B397="","",IFERROR(INDEX(Planos_Contratos!$M$4:$M$203,MATCH(B397,Planos_Contratos!$A$4:$A$203,0)),""))</x:f>
      </x:c>
      <x:c r="M397" s="64"/>
    </x:row>
    <x:row r="398" ht="20" customHeight="1">
      <x:c r="A398" s="68" t="str">
        <x:f t="shared" si="12"/>
      </x:c>
      <x:c r="B398" s="64"/>
      <x:c r="C398" s="68" t="str">
        <x:f>IF(B398="","",IFERROR(INDEX(Planos_Contratos!$B$4:$B$203,MATCH(B398,Planos_Contratos!$A$4:$A$203,0)),""))</x:f>
      </x:c>
      <x:c r="D398" s="68" t="str">
        <x:f>IF(B398="","",IFERROR(INDEX(Planos_Contratos!$C$4:$C$203,MATCH(B398,Planos_Contratos!$A$4:$A$203,0)),""))</x:f>
      </x:c>
      <x:c r="E398" s="72"/>
      <x:c r="F398" s="72"/>
      <x:c r="G398" s="92" t="str">
        <x:f>IF(B398="","",IFERROR(INDEX(Planos_Contratos!$L$4:$L$203,MATCH(B398,Planos_Contratos!$A$4:$A$203,0))/MAX(1,INDEX(Planos_Contratos!$M$4:$M$203,MATCH(B398,Planos_Contratos!$A$4:$A$203,0))),""))</x:f>
      </x:c>
      <x:c r="H398" s="112"/>
      <x:c r="I398" s="92" t="str">
        <x:f t="shared" si="13"/>
      </x:c>
      <x:c r="J398" s="68" t="str">
        <x:f>IF(B398="","",IFERROR(INDEX(Planos_Contratos!$I$4:$I$203,MATCH(B398,Planos_Contratos!$A$4:$A$203,0)),""))</x:f>
      </x:c>
      <x:c r="K398" s="70"/>
      <x:c r="L398" s="96" t="str">
        <x:f>IF(B398="","",IFERROR(INDEX(Planos_Contratos!$M$4:$M$203,MATCH(B398,Planos_Contratos!$A$4:$A$203,0)),""))</x:f>
      </x:c>
      <x:c r="M398" s="64"/>
    </x:row>
    <x:row r="399" ht="20" customHeight="1">
      <x:c r="A399" s="68" t="str">
        <x:f t="shared" si="12"/>
      </x:c>
      <x:c r="B399" s="64"/>
      <x:c r="C399" s="68" t="str">
        <x:f>IF(B399="","",IFERROR(INDEX(Planos_Contratos!$B$4:$B$203,MATCH(B399,Planos_Contratos!$A$4:$A$203,0)),""))</x:f>
      </x:c>
      <x:c r="D399" s="68" t="str">
        <x:f>IF(B399="","",IFERROR(INDEX(Planos_Contratos!$C$4:$C$203,MATCH(B399,Planos_Contratos!$A$4:$A$203,0)),""))</x:f>
      </x:c>
      <x:c r="E399" s="72"/>
      <x:c r="F399" s="72"/>
      <x:c r="G399" s="92" t="str">
        <x:f>IF(B399="","",IFERROR(INDEX(Planos_Contratos!$L$4:$L$203,MATCH(B399,Planos_Contratos!$A$4:$A$203,0))/MAX(1,INDEX(Planos_Contratos!$M$4:$M$203,MATCH(B399,Planos_Contratos!$A$4:$A$203,0))),""))</x:f>
      </x:c>
      <x:c r="H399" s="112"/>
      <x:c r="I399" s="92" t="str">
        <x:f t="shared" si="13"/>
      </x:c>
      <x:c r="J399" s="68" t="str">
        <x:f>IF(B399="","",IFERROR(INDEX(Planos_Contratos!$I$4:$I$203,MATCH(B399,Planos_Contratos!$A$4:$A$203,0)),""))</x:f>
      </x:c>
      <x:c r="K399" s="70"/>
      <x:c r="L399" s="96" t="str">
        <x:f>IF(B399="","",IFERROR(INDEX(Planos_Contratos!$M$4:$M$203,MATCH(B399,Planos_Contratos!$A$4:$A$203,0)),""))</x:f>
      </x:c>
      <x:c r="M399" s="64"/>
    </x:row>
    <x:row r="400" ht="20" customHeight="1">
      <x:c r="A400" s="68" t="str">
        <x:f t="shared" si="12"/>
      </x:c>
      <x:c r="B400" s="64"/>
      <x:c r="C400" s="68" t="str">
        <x:f>IF(B400="","",IFERROR(INDEX(Planos_Contratos!$B$4:$B$203,MATCH(B400,Planos_Contratos!$A$4:$A$203,0)),""))</x:f>
      </x:c>
      <x:c r="D400" s="68" t="str">
        <x:f>IF(B400="","",IFERROR(INDEX(Planos_Contratos!$C$4:$C$203,MATCH(B400,Planos_Contratos!$A$4:$A$203,0)),""))</x:f>
      </x:c>
      <x:c r="E400" s="72"/>
      <x:c r="F400" s="72"/>
      <x:c r="G400" s="92" t="str">
        <x:f>IF(B400="","",IFERROR(INDEX(Planos_Contratos!$L$4:$L$203,MATCH(B400,Planos_Contratos!$A$4:$A$203,0))/MAX(1,INDEX(Planos_Contratos!$M$4:$M$203,MATCH(B400,Planos_Contratos!$A$4:$A$203,0))),""))</x:f>
      </x:c>
      <x:c r="H400" s="112"/>
      <x:c r="I400" s="92" t="str">
        <x:f t="shared" si="13"/>
      </x:c>
      <x:c r="J400" s="68" t="str">
        <x:f>IF(B400="","",IFERROR(INDEX(Planos_Contratos!$I$4:$I$203,MATCH(B400,Planos_Contratos!$A$4:$A$203,0)),""))</x:f>
      </x:c>
      <x:c r="K400" s="70"/>
      <x:c r="L400" s="96" t="str">
        <x:f>IF(B400="","",IFERROR(INDEX(Planos_Contratos!$M$4:$M$203,MATCH(B400,Planos_Contratos!$A$4:$A$203,0)),""))</x:f>
      </x:c>
      <x:c r="M400" s="64"/>
    </x:row>
    <x:row r="401" ht="20" customHeight="1">
      <x:c r="A401" s="68" t="str">
        <x:f t="shared" si="12"/>
      </x:c>
      <x:c r="B401" s="64"/>
      <x:c r="C401" s="68" t="str">
        <x:f>IF(B401="","",IFERROR(INDEX(Planos_Contratos!$B$4:$B$203,MATCH(B401,Planos_Contratos!$A$4:$A$203,0)),""))</x:f>
      </x:c>
      <x:c r="D401" s="68" t="str">
        <x:f>IF(B401="","",IFERROR(INDEX(Planos_Contratos!$C$4:$C$203,MATCH(B401,Planos_Contratos!$A$4:$A$203,0)),""))</x:f>
      </x:c>
      <x:c r="E401" s="72"/>
      <x:c r="F401" s="72"/>
      <x:c r="G401" s="92" t="str">
        <x:f>IF(B401="","",IFERROR(INDEX(Planos_Contratos!$L$4:$L$203,MATCH(B401,Planos_Contratos!$A$4:$A$203,0))/MAX(1,INDEX(Planos_Contratos!$M$4:$M$203,MATCH(B401,Planos_Contratos!$A$4:$A$203,0))),""))</x:f>
      </x:c>
      <x:c r="H401" s="112"/>
      <x:c r="I401" s="92" t="str">
        <x:f t="shared" si="13"/>
      </x:c>
      <x:c r="J401" s="68" t="str">
        <x:f>IF(B401="","",IFERROR(INDEX(Planos_Contratos!$I$4:$I$203,MATCH(B401,Planos_Contratos!$A$4:$A$203,0)),""))</x:f>
      </x:c>
      <x:c r="K401" s="70"/>
      <x:c r="L401" s="96" t="str">
        <x:f>IF(B401="","",IFERROR(INDEX(Planos_Contratos!$M$4:$M$203,MATCH(B401,Planos_Contratos!$A$4:$A$203,0)),""))</x:f>
      </x:c>
      <x:c r="M401" s="64"/>
    </x:row>
    <x:row r="402" ht="20" customHeight="1">
      <x:c r="A402" s="68" t="str">
        <x:f t="shared" si="12"/>
      </x:c>
      <x:c r="B402" s="64"/>
      <x:c r="C402" s="68" t="str">
        <x:f>IF(B402="","",IFERROR(INDEX(Planos_Contratos!$B$4:$B$203,MATCH(B402,Planos_Contratos!$A$4:$A$203,0)),""))</x:f>
      </x:c>
      <x:c r="D402" s="68" t="str">
        <x:f>IF(B402="","",IFERROR(INDEX(Planos_Contratos!$C$4:$C$203,MATCH(B402,Planos_Contratos!$A$4:$A$203,0)),""))</x:f>
      </x:c>
      <x:c r="E402" s="72"/>
      <x:c r="F402" s="72"/>
      <x:c r="G402" s="92" t="str">
        <x:f>IF(B402="","",IFERROR(INDEX(Planos_Contratos!$L$4:$L$203,MATCH(B402,Planos_Contratos!$A$4:$A$203,0))/MAX(1,INDEX(Planos_Contratos!$M$4:$M$203,MATCH(B402,Planos_Contratos!$A$4:$A$203,0))),""))</x:f>
      </x:c>
      <x:c r="H402" s="112"/>
      <x:c r="I402" s="92" t="str">
        <x:f t="shared" si="13"/>
      </x:c>
      <x:c r="J402" s="68" t="str">
        <x:f>IF(B402="","",IFERROR(INDEX(Planos_Contratos!$I$4:$I$203,MATCH(B402,Planos_Contratos!$A$4:$A$203,0)),""))</x:f>
      </x:c>
      <x:c r="K402" s="70"/>
      <x:c r="L402" s="96" t="str">
        <x:f>IF(B402="","",IFERROR(INDEX(Planos_Contratos!$M$4:$M$203,MATCH(B402,Planos_Contratos!$A$4:$A$203,0)),""))</x:f>
      </x:c>
      <x:c r="M402" s="64"/>
    </x:row>
    <x:row r="403" ht="20" customHeight="1">
      <x:c r="A403" s="68" t="str">
        <x:f t="shared" si="12"/>
      </x:c>
      <x:c r="B403" s="64"/>
      <x:c r="C403" s="68" t="str">
        <x:f>IF(B403="","",IFERROR(INDEX(Planos_Contratos!$B$4:$B$203,MATCH(B403,Planos_Contratos!$A$4:$A$203,0)),""))</x:f>
      </x:c>
      <x:c r="D403" s="68" t="str">
        <x:f>IF(B403="","",IFERROR(INDEX(Planos_Contratos!$C$4:$C$203,MATCH(B403,Planos_Contratos!$A$4:$A$203,0)),""))</x:f>
      </x:c>
      <x:c r="E403" s="72"/>
      <x:c r="F403" s="72"/>
      <x:c r="G403" s="92" t="str">
        <x:f>IF(B403="","",IFERROR(INDEX(Planos_Contratos!$L$4:$L$203,MATCH(B403,Planos_Contratos!$A$4:$A$203,0))/MAX(1,INDEX(Planos_Contratos!$M$4:$M$203,MATCH(B403,Planos_Contratos!$A$4:$A$203,0))),""))</x:f>
      </x:c>
      <x:c r="H403" s="112"/>
      <x:c r="I403" s="92" t="str">
        <x:f t="shared" si="13"/>
      </x:c>
      <x:c r="J403" s="68" t="str">
        <x:f>IF(B403="","",IFERROR(INDEX(Planos_Contratos!$I$4:$I$203,MATCH(B403,Planos_Contratos!$A$4:$A$203,0)),""))</x:f>
      </x:c>
      <x:c r="K403" s="70"/>
      <x:c r="L403" s="96" t="str">
        <x:f>IF(B403="","",IFERROR(INDEX(Planos_Contratos!$M$4:$M$203,MATCH(B403,Planos_Contratos!$A$4:$A$203,0)),""))</x:f>
      </x:c>
      <x:c r="M403" s="64"/>
    </x:row>
  </x:sheetData>
  <x:mergeCells>
    <x:mergeCell ref="A2:G2"/>
    <x:mergeCell ref="A1:M1"/>
    <x:mergeCell ref="A2:M2"/>
  </x:mergeCells>
  <x:conditionalFormatting sqref="M4:M403">
    <x:cfRule type="expression" dxfId="18" priority="1">
      <x:formula>OR(M4="Recebido",M4="Pago",M4="Realizado",M4="Ativo",M4="Concluído")</x:formula>
    </x:cfRule>
    <x:cfRule type="expression" dxfId="19" priority="2">
      <x:formula>OR(M4="Pendente",M4="Retorno Pendente",M4="Em andamento",M4="Agendado")</x:formula>
    </x:cfRule>
    <x:cfRule type="expression" dxfId="20" priority="3">
      <x:formula>OR(M4="Cancelado",M4="Faltou")</x:formula>
    </x:cfRule>
    <x:cfRule type="expression" dxfId="21" priority="4">
      <x:formula>OR(M4="Inativo",M4="Em Pausa")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3.800000190734863"/>
  <x:cols>
    <x:col min="1" max="1" width="11" hidden="0" customWidth="1"/>
    <x:col min="2" max="2" width="15" hidden="0" customWidth="1"/>
    <x:col min="3" max="4" width="16" customWidth="1"/>
    <x:col min="5" max="5" width="22" hidden="0" customWidth="1"/>
    <x:col min="6" max="6" width="28" hidden="0" customWidth="1"/>
    <x:col min="7" max="9" width="14" customWidth="1"/>
    <x:col min="3" max="3" width="15" hidden="0" customWidth="1"/>
    <x:col min="4" max="4" width="15" hidden="0" customWidth="1"/>
    <x:col min="7" max="7" width="14" hidden="0" customWidth="1"/>
    <x:col min="8" max="8" width="14" hidden="0" customWidth="1"/>
    <x:col min="9" max="9" width="13" hidden="0" customWidth="1"/>
  </x:cols>
  <x:sheetData>
    <x:row r="1" ht="30" customHeight="1">
      <x:c r="A1" s="38" t="s">
        <x:v>94</x:v>
      </x:c>
      <x:c r="B1" s="38"/>
      <x:c r="C1" s="38"/>
      <x:c r="D1" s="38"/>
      <x:c r="E1" s="38"/>
      <x:c r="F1" s="38"/>
      <x:c r="G1" s="38"/>
      <x:c r="H1" s="38"/>
      <x:c r="I1" s="38"/>
    </x:row>
    <x:row r="2" ht="24" customHeight="1">
      <x:c r="A2" s="44" t="str">
        <x:v>Preencha as células em verde-claro. O ID é gerado automaticamente.</x:v>
      </x:c>
      <x:c r="B2" s="44"/>
      <x:c r="C2" s="44"/>
      <x:c r="D2" s="44"/>
      <x:c r="E2" s="44"/>
      <x:c r="F2" s="44"/>
      <x:c r="G2" s="44"/>
      <x:c r="H2" s="44"/>
      <x:c r="I2" s="44"/>
    </x:row>
    <x:row r="3" ht="30" customHeight="1">
      <x:c r="A3" s="49" t="s">
        <x:v>95</x:v>
      </x:c>
      <x:c r="B3" s="49" t="s">
        <x:v>96</x:v>
      </x:c>
      <x:c r="C3" s="49" t="s">
        <x:v>84</x:v>
      </x:c>
      <x:c r="D3" s="49" t="s">
        <x:v>97</x:v>
      </x:c>
      <x:c r="E3" s="49" t="s">
        <x:v>98</x:v>
      </x:c>
      <x:c r="F3" s="49" t="s">
        <x:v>99</x:v>
      </x:c>
      <x:c r="G3" s="49" t="s">
        <x:v>100</x:v>
      </x:c>
      <x:c r="H3" s="49" t="s">
        <x:v>3</x:v>
      </x:c>
      <x:c r="I3" s="49" t="s">
        <x:v>91</x:v>
      </x:c>
    </x:row>
    <x:row r="4" ht="20" customHeight="1">
      <x:c r="A4" s="68" t="n">
        <x:f t="shared" ref="A4:A67" si="0">IF(F4="","",ROW()-3)</x:f>
        <x:v>1</x:v>
      </x:c>
      <x:c r="B4" s="72">
        <x:v>46023</x:v>
      </x:c>
      <x:c r="C4" s="72">
        <x:v>46032</x:v>
      </x:c>
      <x:c r="D4" s="72">
        <x:v>46033</x:v>
      </x:c>
      <x:c r="E4" s="64" t="s">
        <x:v>101</x:v>
      </x:c>
      <x:c r="F4" s="64" t="s">
        <x:v>102</x:v>
      </x:c>
      <x:c r="G4" s="64" t="s">
        <x:v>103</x:v>
      </x:c>
      <x:c r="H4" s="112">
        <x:v>49.9</x:v>
      </x:c>
      <x:c r="I4" s="64" t="s">
        <x:v>104</x:v>
      </x:c>
    </x:row>
    <x:row r="5" ht="20" customHeight="1">
      <x:c r="A5" s="68">
        <x:f t="shared" si="0"/>
        <x:v>2</x:v>
      </x:c>
      <x:c r="B5" s="72">
        <x:v>46023</x:v>
      </x:c>
      <x:c r="C5" s="72">
        <x:v>46032</x:v>
      </x:c>
      <x:c r="D5" s="72">
        <x:v>46034</x:v>
      </x:c>
      <x:c r="E5" s="64" t="s">
        <x:v>105</x:v>
      </x:c>
      <x:c r="F5" s="64" t="s">
        <x:v>106</x:v>
      </x:c>
      <x:c r="G5" s="64" t="s">
        <x:v>103</x:v>
      </x:c>
      <x:c r="H5" s="112">
        <x:v>108.48</x:v>
      </x:c>
      <x:c r="I5" s="64" t="s">
        <x:v>104</x:v>
      </x:c>
    </x:row>
    <x:row r="6" ht="20" customHeight="1">
      <x:c r="A6" s="68">
        <x:f t="shared" si="0"/>
        <x:v>3</x:v>
      </x:c>
      <x:c r="B6" s="72">
        <x:v>46023</x:v>
      </x:c>
      <x:c r="C6" s="72">
        <x:v>46032</x:v>
      </x:c>
      <x:c r="D6" s="72">
        <x:v>46032</x:v>
      </x:c>
      <x:c r="E6" s="64" t="s">
        <x:v>107</x:v>
      </x:c>
      <x:c r="F6" s="64" t="s">
        <x:v>108</x:v>
      </x:c>
      <x:c r="G6" s="64" t="s">
        <x:v>103</x:v>
      </x:c>
      <x:c r="H6" s="112">
        <x:v>45.83</x:v>
      </x:c>
      <x:c r="I6" s="64" t="s">
        <x:v>104</x:v>
      </x:c>
    </x:row>
    <x:row r="7" ht="20" customHeight="1">
      <x:c r="A7" s="68">
        <x:f t="shared" si="0"/>
        <x:v>4</x:v>
      </x:c>
      <x:c r="B7" s="72">
        <x:v>46023</x:v>
      </x:c>
      <x:c r="C7" s="72">
        <x:v>46032</x:v>
      </x:c>
      <x:c r="D7" s="72">
        <x:v>46033</x:v>
      </x:c>
      <x:c r="E7" s="64" t="s">
        <x:v>109</x:v>
      </x:c>
      <x:c r="F7" s="64" t="s">
        <x:v>109</x:v>
      </x:c>
      <x:c r="G7" s="64" t="s">
        <x:v>103</x:v>
      </x:c>
      <x:c r="H7" s="112">
        <x:v>160</x:v>
      </x:c>
      <x:c r="I7" s="64" t="s">
        <x:v>104</x:v>
      </x:c>
    </x:row>
    <x:row r="8" ht="20" customHeight="1">
      <x:c r="A8" s="68">
        <x:f t="shared" si="0"/>
        <x:v>5</x:v>
      </x:c>
      <x:c r="B8" s="72">
        <x:v>46023</x:v>
      </x:c>
      <x:c r="C8" s="72">
        <x:v>46042</x:v>
      </x:c>
      <x:c r="D8" s="72">
        <x:v>46042</x:v>
      </x:c>
      <x:c r="E8" s="64" t="s">
        <x:v>110</x:v>
      </x:c>
      <x:c r="F8" s="64" t="s">
        <x:v>111</x:v>
      </x:c>
      <x:c r="G8" s="64" t="s">
        <x:v>112</x:v>
      </x:c>
      <x:c r="H8" s="112">
        <x:v>120</x:v>
      </x:c>
      <x:c r="I8" s="64" t="s">
        <x:v>104</x:v>
      </x:c>
    </x:row>
    <x:row r="9" ht="20" customHeight="1">
      <x:c r="A9" s="68">
        <x:f t="shared" si="0"/>
        <x:v>6</x:v>
      </x:c>
      <x:c r="B9" s="72">
        <x:v>46054</x:v>
      </x:c>
      <x:c r="C9" s="72">
        <x:v>46063</x:v>
      </x:c>
      <x:c r="D9" s="72">
        <x:v>46065</x:v>
      </x:c>
      <x:c r="E9" s="64" t="s">
        <x:v>101</x:v>
      </x:c>
      <x:c r="F9" s="64" t="s">
        <x:v>102</x:v>
      </x:c>
      <x:c r="G9" s="64" t="s">
        <x:v>103</x:v>
      </x:c>
      <x:c r="H9" s="112">
        <x:v>49.9</x:v>
      </x:c>
      <x:c r="I9" s="64" t="s">
        <x:v>104</x:v>
      </x:c>
    </x:row>
    <x:row r="10" ht="20" customHeight="1">
      <x:c r="A10" s="68">
        <x:f t="shared" si="0"/>
        <x:v>7</x:v>
      </x:c>
      <x:c r="B10" s="72">
        <x:v>46054</x:v>
      </x:c>
      <x:c r="C10" s="72">
        <x:v>46063</x:v>
      </x:c>
      <x:c r="D10" s="72">
        <x:v>46064</x:v>
      </x:c>
      <x:c r="E10" s="64" t="s">
        <x:v>105</x:v>
      </x:c>
      <x:c r="F10" s="64" t="s">
        <x:v>106</x:v>
      </x:c>
      <x:c r="G10" s="64" t="s">
        <x:v>103</x:v>
      </x:c>
      <x:c r="H10" s="112">
        <x:v>108.48</x:v>
      </x:c>
      <x:c r="I10" s="64" t="s">
        <x:v>104</x:v>
      </x:c>
    </x:row>
    <x:row r="11" ht="20" customHeight="1">
      <x:c r="A11" s="68">
        <x:f t="shared" si="0"/>
        <x:v>8</x:v>
      </x:c>
      <x:c r="B11" s="72">
        <x:v>46054</x:v>
      </x:c>
      <x:c r="C11" s="72">
        <x:v>46063</x:v>
      </x:c>
      <x:c r="D11" s="72">
        <x:v>46065</x:v>
      </x:c>
      <x:c r="E11" s="64" t="s">
        <x:v>107</x:v>
      </x:c>
      <x:c r="F11" s="64" t="s">
        <x:v>108</x:v>
      </x:c>
      <x:c r="G11" s="64" t="s">
        <x:v>103</x:v>
      </x:c>
      <x:c r="H11" s="112">
        <x:v>45.83</x:v>
      </x:c>
      <x:c r="I11" s="64" t="s">
        <x:v>104</x:v>
      </x:c>
    </x:row>
    <x:row r="12" ht="20" customHeight="1">
      <x:c r="A12" s="68">
        <x:f t="shared" si="0"/>
        <x:v>9</x:v>
      </x:c>
      <x:c r="B12" s="72">
        <x:v>46054</x:v>
      </x:c>
      <x:c r="C12" s="72">
        <x:v>46063</x:v>
      </x:c>
      <x:c r="D12" s="72">
        <x:v>46065</x:v>
      </x:c>
      <x:c r="E12" s="64" t="s">
        <x:v>109</x:v>
      </x:c>
      <x:c r="F12" s="64" t="s">
        <x:v>109</x:v>
      </x:c>
      <x:c r="G12" s="64" t="s">
        <x:v>103</x:v>
      </x:c>
      <x:c r="H12" s="112">
        <x:v>160</x:v>
      </x:c>
      <x:c r="I12" s="64" t="s">
        <x:v>104</x:v>
      </x:c>
    </x:row>
    <x:row r="13" ht="20" customHeight="1">
      <x:c r="A13" s="68">
        <x:f t="shared" si="0"/>
        <x:v>10</x:v>
      </x:c>
      <x:c r="B13" s="72">
        <x:v>46054</x:v>
      </x:c>
      <x:c r="C13" s="72">
        <x:v>46078</x:v>
      </x:c>
      <x:c r="D13" s="72">
        <x:v>46080</x:v>
      </x:c>
      <x:c r="E13" s="64" t="s">
        <x:v>113</x:v>
      </x:c>
      <x:c r="F13" s="64" t="s">
        <x:v>114</x:v>
      </x:c>
      <x:c r="G13" s="64" t="s">
        <x:v>112</x:v>
      </x:c>
      <x:c r="H13" s="112">
        <x:v>78.5</x:v>
      </x:c>
      <x:c r="I13" s="64" t="s">
        <x:v>104</x:v>
      </x:c>
    </x:row>
    <x:row r="14" ht="20" customHeight="1">
      <x:c r="A14" s="68">
        <x:f t="shared" si="0"/>
        <x:v>11</x:v>
      </x:c>
      <x:c r="B14" s="72">
        <x:v>46054</x:v>
      </x:c>
      <x:c r="C14" s="72">
        <x:v>46068</x:v>
      </x:c>
      <x:c r="D14" s="72">
        <x:v>46070</x:v>
      </x:c>
      <x:c r="E14" s="64" t="s">
        <x:v>115</x:v>
      </x:c>
      <x:c r="F14" s="64" t="s">
        <x:v>116</x:v>
      </x:c>
      <x:c r="G14" s="64" t="s">
        <x:v>112</x:v>
      </x:c>
      <x:c r="H14" s="112">
        <x:v>65</x:v>
      </x:c>
      <x:c r="I14" s="64" t="s">
        <x:v>104</x:v>
      </x:c>
    </x:row>
    <x:row r="15" ht="20" customHeight="1">
      <x:c r="A15" s="68">
        <x:f t="shared" si="0"/>
        <x:v>12</x:v>
      </x:c>
      <x:c r="B15" s="72">
        <x:v>46082</x:v>
      </x:c>
      <x:c r="C15" s="72">
        <x:v>46091</x:v>
      </x:c>
      <x:c r="D15" s="72">
        <x:v>46093</x:v>
      </x:c>
      <x:c r="E15" s="64" t="s">
        <x:v>101</x:v>
      </x:c>
      <x:c r="F15" s="64" t="s">
        <x:v>102</x:v>
      </x:c>
      <x:c r="G15" s="64" t="s">
        <x:v>103</x:v>
      </x:c>
      <x:c r="H15" s="112">
        <x:v>49.9</x:v>
      </x:c>
      <x:c r="I15" s="64" t="s">
        <x:v>104</x:v>
      </x:c>
    </x:row>
    <x:row r="16" ht="20" customHeight="1">
      <x:c r="A16" s="68">
        <x:f t="shared" si="0"/>
        <x:v>13</x:v>
      </x:c>
      <x:c r="B16" s="72">
        <x:v>46082</x:v>
      </x:c>
      <x:c r="C16" s="72">
        <x:v>46091</x:v>
      </x:c>
      <x:c r="D16" s="72">
        <x:v>46091</x:v>
      </x:c>
      <x:c r="E16" s="64" t="s">
        <x:v>105</x:v>
      </x:c>
      <x:c r="F16" s="64" t="s">
        <x:v>106</x:v>
      </x:c>
      <x:c r="G16" s="64" t="s">
        <x:v>103</x:v>
      </x:c>
      <x:c r="H16" s="112">
        <x:v>108.48</x:v>
      </x:c>
      <x:c r="I16" s="64" t="s">
        <x:v>104</x:v>
      </x:c>
    </x:row>
    <x:row r="17" ht="20" customHeight="1">
      <x:c r="A17" s="68">
        <x:f t="shared" si="0"/>
        <x:v>14</x:v>
      </x:c>
      <x:c r="B17" s="72">
        <x:v>46082</x:v>
      </x:c>
      <x:c r="C17" s="72">
        <x:v>46091</x:v>
      </x:c>
      <x:c r="D17" s="72">
        <x:v>46091</x:v>
      </x:c>
      <x:c r="E17" s="64" t="s">
        <x:v>107</x:v>
      </x:c>
      <x:c r="F17" s="64" t="s">
        <x:v>108</x:v>
      </x:c>
      <x:c r="G17" s="64" t="s">
        <x:v>103</x:v>
      </x:c>
      <x:c r="H17" s="112">
        <x:v>45.83</x:v>
      </x:c>
      <x:c r="I17" s="64" t="s">
        <x:v>104</x:v>
      </x:c>
    </x:row>
    <x:row r="18" ht="20" customHeight="1">
      <x:c r="A18" s="68">
        <x:f t="shared" si="0"/>
        <x:v>15</x:v>
      </x:c>
      <x:c r="B18" s="72">
        <x:v>46082</x:v>
      </x:c>
      <x:c r="C18" s="72">
        <x:v>46091</x:v>
      </x:c>
      <x:c r="D18" s="72">
        <x:v>46092</x:v>
      </x:c>
      <x:c r="E18" s="64" t="s">
        <x:v>109</x:v>
      </x:c>
      <x:c r="F18" s="64" t="s">
        <x:v>109</x:v>
      </x:c>
      <x:c r="G18" s="64" t="s">
        <x:v>103</x:v>
      </x:c>
      <x:c r="H18" s="112">
        <x:v>160</x:v>
      </x:c>
      <x:c r="I18" s="64" t="s">
        <x:v>104</x:v>
      </x:c>
    </x:row>
    <x:row r="19" ht="20" customHeight="1">
      <x:c r="A19" s="68">
        <x:f t="shared" si="0"/>
        <x:v>16</x:v>
      </x:c>
      <x:c r="B19" s="72">
        <x:v>46082</x:v>
      </x:c>
      <x:c r="C19" s="72">
        <x:v>46101</x:v>
      </x:c>
      <x:c r="D19" s="72">
        <x:v>46101</x:v>
      </x:c>
      <x:c r="E19" s="64" t="s">
        <x:v>110</x:v>
      </x:c>
      <x:c r="F19" s="64" t="s">
        <x:v>117</x:v>
      </x:c>
      <x:c r="G19" s="64" t="s">
        <x:v>112</x:v>
      </x:c>
      <x:c r="H19" s="112">
        <x:v>150</x:v>
      </x:c>
      <x:c r="I19" s="64" t="s">
        <x:v>104</x:v>
      </x:c>
    </x:row>
    <x:row r="20" ht="20" customHeight="1">
      <x:c r="A20" s="68">
        <x:f t="shared" si="0"/>
        <x:v>17</x:v>
      </x:c>
      <x:c r="B20" s="72">
        <x:v>46113</x:v>
      </x:c>
      <x:c r="C20" s="72">
        <x:v>46122</x:v>
      </x:c>
      <x:c r="D20" s="72">
        <x:v>46122</x:v>
      </x:c>
      <x:c r="E20" s="64" t="s">
        <x:v>101</x:v>
      </x:c>
      <x:c r="F20" s="64" t="s">
        <x:v>102</x:v>
      </x:c>
      <x:c r="G20" s="64" t="s">
        <x:v>103</x:v>
      </x:c>
      <x:c r="H20" s="112">
        <x:v>49.9</x:v>
      </x:c>
      <x:c r="I20" s="64" t="s">
        <x:v>104</x:v>
      </x:c>
    </x:row>
    <x:row r="21" ht="20" customHeight="1">
      <x:c r="A21" s="68">
        <x:f t="shared" si="0"/>
        <x:v>18</x:v>
      </x:c>
      <x:c r="B21" s="72">
        <x:v>46113</x:v>
      </x:c>
      <x:c r="C21" s="72">
        <x:v>46122</x:v>
      </x:c>
      <x:c r="D21" s="72">
        <x:v>46123</x:v>
      </x:c>
      <x:c r="E21" s="64" t="s">
        <x:v>105</x:v>
      </x:c>
      <x:c r="F21" s="64" t="s">
        <x:v>106</x:v>
      </x:c>
      <x:c r="G21" s="64" t="s">
        <x:v>103</x:v>
      </x:c>
      <x:c r="H21" s="112">
        <x:v>108.48</x:v>
      </x:c>
      <x:c r="I21" s="64" t="s">
        <x:v>104</x:v>
      </x:c>
    </x:row>
    <x:row r="22" ht="20" customHeight="1">
      <x:c r="A22" s="68">
        <x:f t="shared" si="0"/>
        <x:v>19</x:v>
      </x:c>
      <x:c r="B22" s="72">
        <x:v>46113</x:v>
      </x:c>
      <x:c r="C22" s="72">
        <x:v>46122</x:v>
      </x:c>
      <x:c r="D22" s="72">
        <x:v>46122</x:v>
      </x:c>
      <x:c r="E22" s="64" t="s">
        <x:v>107</x:v>
      </x:c>
      <x:c r="F22" s="64" t="s">
        <x:v>108</x:v>
      </x:c>
      <x:c r="G22" s="64" t="s">
        <x:v>103</x:v>
      </x:c>
      <x:c r="H22" s="112">
        <x:v>45.83</x:v>
      </x:c>
      <x:c r="I22" s="64" t="s">
        <x:v>104</x:v>
      </x:c>
    </x:row>
    <x:row r="23" ht="20" customHeight="1">
      <x:c r="A23" s="68">
        <x:f t="shared" si="0"/>
        <x:v>20</x:v>
      </x:c>
      <x:c r="B23" s="72">
        <x:v>46113</x:v>
      </x:c>
      <x:c r="C23" s="72">
        <x:v>46122</x:v>
      </x:c>
      <x:c r="D23" s="72">
        <x:v>46122</x:v>
      </x:c>
      <x:c r="E23" s="64" t="s">
        <x:v>109</x:v>
      </x:c>
      <x:c r="F23" s="64" t="s">
        <x:v>109</x:v>
      </x:c>
      <x:c r="G23" s="64" t="s">
        <x:v>103</x:v>
      </x:c>
      <x:c r="H23" s="112">
        <x:v>160</x:v>
      </x:c>
      <x:c r="I23" s="64" t="s">
        <x:v>104</x:v>
      </x:c>
    </x:row>
    <x:row r="24" ht="20" customHeight="1">
      <x:c r="A24" s="68">
        <x:f t="shared" si="0"/>
        <x:v>21</x:v>
      </x:c>
      <x:c r="B24" s="72">
        <x:v>46113</x:v>
      </x:c>
      <x:c r="C24" s="72">
        <x:v>46127</x:v>
      </x:c>
      <x:c r="D24" s="72">
        <x:v>46127</x:v>
      </x:c>
      <x:c r="E24" s="64" t="s">
        <x:v>118</x:v>
      </x:c>
      <x:c r="F24" s="64" t="s">
        <x:v>119</x:v>
      </x:c>
      <x:c r="G24" s="64" t="s">
        <x:v>112</x:v>
      </x:c>
      <x:c r="H24" s="112">
        <x:v>42.3</x:v>
      </x:c>
      <x:c r="I24" s="64" t="s">
        <x:v>104</x:v>
      </x:c>
    </x:row>
    <x:row r="25" ht="20" customHeight="1">
      <x:c r="A25" s="68">
        <x:f t="shared" si="0"/>
        <x:v>22</x:v>
      </x:c>
      <x:c r="B25" s="72">
        <x:v>46113</x:v>
      </x:c>
      <x:c r="C25" s="72">
        <x:v>46124</x:v>
      </x:c>
      <x:c r="D25" s="72">
        <x:v>46124</x:v>
      </x:c>
      <x:c r="E25" s="64" t="s">
        <x:v>113</x:v>
      </x:c>
      <x:c r="F25" s="64" t="s">
        <x:v>120</x:v>
      </x:c>
      <x:c r="G25" s="64" t="s">
        <x:v>112</x:v>
      </x:c>
      <x:c r="H25" s="112">
        <x:v>55</x:v>
      </x:c>
      <x:c r="I25" s="64" t="s">
        <x:v>104</x:v>
      </x:c>
    </x:row>
    <x:row r="26" ht="20" customHeight="1">
      <x:c r="A26" s="68">
        <x:f t="shared" si="0"/>
        <x:v>23</x:v>
      </x:c>
      <x:c r="B26" s="72">
        <x:v>46143</x:v>
      </x:c>
      <x:c r="C26" s="72">
        <x:v>46152</x:v>
      </x:c>
      <x:c r="D26" s="72">
        <x:v>46154</x:v>
      </x:c>
      <x:c r="E26" s="64" t="s">
        <x:v>101</x:v>
      </x:c>
      <x:c r="F26" s="64" t="s">
        <x:v>102</x:v>
      </x:c>
      <x:c r="G26" s="64" t="s">
        <x:v>103</x:v>
      </x:c>
      <x:c r="H26" s="112">
        <x:v>49.9</x:v>
      </x:c>
      <x:c r="I26" s="64" t="s">
        <x:v>104</x:v>
      </x:c>
    </x:row>
    <x:row r="27" ht="20" customHeight="1">
      <x:c r="A27" s="68">
        <x:f t="shared" si="0"/>
        <x:v>24</x:v>
      </x:c>
      <x:c r="B27" s="72">
        <x:v>46143</x:v>
      </x:c>
      <x:c r="C27" s="72">
        <x:v>46152</x:v>
      </x:c>
      <x:c r="D27" s="72">
        <x:v>46152</x:v>
      </x:c>
      <x:c r="E27" s="64" t="s">
        <x:v>105</x:v>
      </x:c>
      <x:c r="F27" s="64" t="s">
        <x:v>106</x:v>
      </x:c>
      <x:c r="G27" s="64" t="s">
        <x:v>103</x:v>
      </x:c>
      <x:c r="H27" s="112">
        <x:v>108.48</x:v>
      </x:c>
      <x:c r="I27" s="64" t="s">
        <x:v>104</x:v>
      </x:c>
    </x:row>
    <x:row r="28" ht="20" customHeight="1">
      <x:c r="A28" s="68">
        <x:f t="shared" si="0"/>
        <x:v>25</x:v>
      </x:c>
      <x:c r="B28" s="72">
        <x:v>46143</x:v>
      </x:c>
      <x:c r="C28" s="72">
        <x:v>46152</x:v>
      </x:c>
      <x:c r="D28" s="72">
        <x:v>46154</x:v>
      </x:c>
      <x:c r="E28" s="64" t="s">
        <x:v>107</x:v>
      </x:c>
      <x:c r="F28" s="64" t="s">
        <x:v>108</x:v>
      </x:c>
      <x:c r="G28" s="64" t="s">
        <x:v>103</x:v>
      </x:c>
      <x:c r="H28" s="112">
        <x:v>45.83</x:v>
      </x:c>
      <x:c r="I28" s="64" t="s">
        <x:v>104</x:v>
      </x:c>
    </x:row>
    <x:row r="29" ht="20" customHeight="1">
      <x:c r="A29" s="68">
        <x:f t="shared" si="0"/>
        <x:v>26</x:v>
      </x:c>
      <x:c r="B29" s="72">
        <x:v>46143</x:v>
      </x:c>
      <x:c r="C29" s="72">
        <x:v>46152</x:v>
      </x:c>
      <x:c r="D29" s="72">
        <x:v>46154</x:v>
      </x:c>
      <x:c r="E29" s="64" t="s">
        <x:v>109</x:v>
      </x:c>
      <x:c r="F29" s="64" t="s">
        <x:v>109</x:v>
      </x:c>
      <x:c r="G29" s="64" t="s">
        <x:v>103</x:v>
      </x:c>
      <x:c r="H29" s="112">
        <x:v>160</x:v>
      </x:c>
      <x:c r="I29" s="64" t="s">
        <x:v>104</x:v>
      </x:c>
    </x:row>
    <x:row r="30" ht="20" customHeight="1">
      <x:c r="A30" s="68">
        <x:f t="shared" si="0"/>
        <x:v>27</x:v>
      </x:c>
      <x:c r="B30" s="72">
        <x:v>46143</x:v>
      </x:c>
      <x:c r="C30" s="72">
        <x:v>46157</x:v>
      </x:c>
      <x:c r="D30" s="72">
        <x:v>46159</x:v>
      </x:c>
      <x:c r="E30" s="64" t="s">
        <x:v>110</x:v>
      </x:c>
      <x:c r="F30" s="64" t="s">
        <x:v>121</x:v>
      </x:c>
      <x:c r="G30" s="64" t="s">
        <x:v>112</x:v>
      </x:c>
      <x:c r="H30" s="112">
        <x:v>180</x:v>
      </x:c>
      <x:c r="I30" s="64" t="s">
        <x:v>104</x:v>
      </x:c>
    </x:row>
    <x:row r="31" ht="20" customHeight="1">
      <x:c r="A31" s="68">
        <x:f t="shared" si="0"/>
        <x:v>28</x:v>
      </x:c>
      <x:c r="B31" s="72">
        <x:v>46174</x:v>
      </x:c>
      <x:c r="C31" s="72">
        <x:v>46183</x:v>
      </x:c>
      <x:c r="D31" s="72">
        <x:v>46185</x:v>
      </x:c>
      <x:c r="E31" s="64" t="s">
        <x:v>101</x:v>
      </x:c>
      <x:c r="F31" s="64" t="s">
        <x:v>102</x:v>
      </x:c>
      <x:c r="G31" s="64" t="s">
        <x:v>103</x:v>
      </x:c>
      <x:c r="H31" s="112">
        <x:v>49.9</x:v>
      </x:c>
      <x:c r="I31" s="64" t="s">
        <x:v>104</x:v>
      </x:c>
    </x:row>
    <x:row r="32" ht="20" customHeight="1">
      <x:c r="A32" s="68">
        <x:f t="shared" si="0"/>
        <x:v>29</x:v>
      </x:c>
      <x:c r="B32" s="72">
        <x:v>46174</x:v>
      </x:c>
      <x:c r="C32" s="72">
        <x:v>46183</x:v>
      </x:c>
      <x:c r="D32" s="72">
        <x:v>46185</x:v>
      </x:c>
      <x:c r="E32" s="64" t="s">
        <x:v>105</x:v>
      </x:c>
      <x:c r="F32" s="64" t="s">
        <x:v>106</x:v>
      </x:c>
      <x:c r="G32" s="64" t="s">
        <x:v>103</x:v>
      </x:c>
      <x:c r="H32" s="112">
        <x:v>108.48</x:v>
      </x:c>
      <x:c r="I32" s="64" t="s">
        <x:v>104</x:v>
      </x:c>
    </x:row>
    <x:row r="33" ht="20" customHeight="1">
      <x:c r="A33" s="68">
        <x:f t="shared" si="0"/>
        <x:v>30</x:v>
      </x:c>
      <x:c r="B33" s="72">
        <x:v>46174</x:v>
      </x:c>
      <x:c r="C33" s="72">
        <x:v>46183</x:v>
      </x:c>
      <x:c r="D33" s="72">
        <x:v>46185</x:v>
      </x:c>
      <x:c r="E33" s="64" t="s">
        <x:v>107</x:v>
      </x:c>
      <x:c r="F33" s="64" t="s">
        <x:v>108</x:v>
      </x:c>
      <x:c r="G33" s="64" t="s">
        <x:v>103</x:v>
      </x:c>
      <x:c r="H33" s="112">
        <x:v>45.83</x:v>
      </x:c>
      <x:c r="I33" s="64" t="s">
        <x:v>104</x:v>
      </x:c>
    </x:row>
    <x:row r="34" ht="20" customHeight="1">
      <x:c r="A34" s="68">
        <x:f t="shared" si="0"/>
        <x:v>31</x:v>
      </x:c>
      <x:c r="B34" s="72">
        <x:v>46174</x:v>
      </x:c>
      <x:c r="C34" s="72">
        <x:v>46183</x:v>
      </x:c>
      <x:c r="D34" s="72">
        <x:v>46183</x:v>
      </x:c>
      <x:c r="E34" s="64" t="s">
        <x:v>109</x:v>
      </x:c>
      <x:c r="F34" s="64" t="s">
        <x:v>109</x:v>
      </x:c>
      <x:c r="G34" s="64" t="s">
        <x:v>103</x:v>
      </x:c>
      <x:c r="H34" s="112">
        <x:v>160</x:v>
      </x:c>
      <x:c r="I34" s="64" t="s">
        <x:v>104</x:v>
      </x:c>
    </x:row>
    <x:row r="35" ht="20" customHeight="1">
      <x:c r="A35" s="68">
        <x:f t="shared" si="0"/>
        <x:v>32</x:v>
      </x:c>
      <x:c r="B35" s="72">
        <x:v>46174</x:v>
      </x:c>
      <x:c r="C35" s="72">
        <x:v>46188</x:v>
      </x:c>
      <x:c r="D35" s="72">
        <x:v>46190</x:v>
      </x:c>
      <x:c r="E35" s="64" t="s">
        <x:v>115</x:v>
      </x:c>
      <x:c r="F35" s="64" t="s">
        <x:v>116</x:v>
      </x:c>
      <x:c r="G35" s="64" t="s">
        <x:v>112</x:v>
      </x:c>
      <x:c r="H35" s="112">
        <x:v>82</x:v>
      </x:c>
      <x:c r="I35" s="64" t="s">
        <x:v>104</x:v>
      </x:c>
    </x:row>
    <x:row r="36" ht="20" customHeight="1">
      <x:c r="A36" s="68">
        <x:f t="shared" si="0"/>
        <x:v>33</x:v>
      </x:c>
      <x:c r="B36" s="72">
        <x:v>46174</x:v>
      </x:c>
      <x:c r="C36" s="72">
        <x:v>46185</x:v>
      </x:c>
      <x:c r="D36" s="72">
        <x:v>46185</x:v>
      </x:c>
      <x:c r="E36" s="64" t="s">
        <x:v>122</x:v>
      </x:c>
      <x:c r="F36" s="64" t="s">
        <x:v>123</x:v>
      </x:c>
      <x:c r="G36" s="64" t="s">
        <x:v>112</x:v>
      </x:c>
      <x:c r="H36" s="112">
        <x:v>36.5</x:v>
      </x:c>
      <x:c r="I36" s="64" t="s">
        <x:v>104</x:v>
      </x:c>
    </x:row>
    <x:row r="37" ht="20" customHeight="1">
      <x:c r="A37" s="68">
        <x:f t="shared" si="0"/>
        <x:v>34</x:v>
      </x:c>
      <x:c r="B37" s="72">
        <x:v>46204</x:v>
      </x:c>
      <x:c r="C37" s="72">
        <x:v>46213</x:v>
      </x:c>
      <x:c r="D37" s="72">
        <x:v>46215</x:v>
      </x:c>
      <x:c r="E37" s="64" t="s">
        <x:v>101</x:v>
      </x:c>
      <x:c r="F37" s="64" t="s">
        <x:v>102</x:v>
      </x:c>
      <x:c r="G37" s="64" t="s">
        <x:v>103</x:v>
      </x:c>
      <x:c r="H37" s="112">
        <x:v>49.9</x:v>
      </x:c>
      <x:c r="I37" s="64" t="s">
        <x:v>104</x:v>
      </x:c>
    </x:row>
    <x:row r="38" ht="20" customHeight="1">
      <x:c r="A38" s="68">
        <x:f t="shared" si="0"/>
        <x:v>35</x:v>
      </x:c>
      <x:c r="B38" s="72">
        <x:v>46204</x:v>
      </x:c>
      <x:c r="C38" s="72">
        <x:v>46213</x:v>
      </x:c>
      <x:c r="D38" s="72">
        <x:v>46213</x:v>
      </x:c>
      <x:c r="E38" s="64" t="s">
        <x:v>105</x:v>
      </x:c>
      <x:c r="F38" s="64" t="s">
        <x:v>106</x:v>
      </x:c>
      <x:c r="G38" s="64" t="s">
        <x:v>103</x:v>
      </x:c>
      <x:c r="H38" s="112">
        <x:v>108.48</x:v>
      </x:c>
      <x:c r="I38" s="64" t="s">
        <x:v>104</x:v>
      </x:c>
    </x:row>
    <x:row r="39" ht="20" customHeight="1">
      <x:c r="A39" s="68">
        <x:f t="shared" si="0"/>
        <x:v>36</x:v>
      </x:c>
      <x:c r="B39" s="72">
        <x:v>46204</x:v>
      </x:c>
      <x:c r="C39" s="72">
        <x:v>46213</x:v>
      </x:c>
      <x:c r="D39" s="72">
        <x:v>46213</x:v>
      </x:c>
      <x:c r="E39" s="64" t="s">
        <x:v>107</x:v>
      </x:c>
      <x:c r="F39" s="64" t="s">
        <x:v>108</x:v>
      </x:c>
      <x:c r="G39" s="64" t="s">
        <x:v>103</x:v>
      </x:c>
      <x:c r="H39" s="112">
        <x:v>45.83</x:v>
      </x:c>
      <x:c r="I39" s="64" t="s">
        <x:v>104</x:v>
      </x:c>
    </x:row>
    <x:row r="40" ht="20" customHeight="1">
      <x:c r="A40" s="68">
        <x:f t="shared" si="0"/>
        <x:v>37</x:v>
      </x:c>
      <x:c r="B40" s="72">
        <x:v>46204</x:v>
      </x:c>
      <x:c r="C40" s="72">
        <x:v>46213</x:v>
      </x:c>
      <x:c r="D40" s="72">
        <x:v>46215</x:v>
      </x:c>
      <x:c r="E40" s="64" t="s">
        <x:v>109</x:v>
      </x:c>
      <x:c r="F40" s="64" t="s">
        <x:v>109</x:v>
      </x:c>
      <x:c r="G40" s="64" t="s">
        <x:v>103</x:v>
      </x:c>
      <x:c r="H40" s="112">
        <x:v>160</x:v>
      </x:c>
      <x:c r="I40" s="64" t="s">
        <x:v>104</x:v>
      </x:c>
    </x:row>
    <x:row r="41" ht="20" customHeight="1">
      <x:c r="A41" s="68">
        <x:f t="shared" si="0"/>
        <x:v>38</x:v>
      </x:c>
      <x:c r="B41" s="72">
        <x:v>46204</x:v>
      </x:c>
      <x:c r="C41" s="72">
        <x:v>46215</x:v>
      </x:c>
      <x:c r="D41" s="72">
        <x:v>46217</x:v>
      </x:c>
      <x:c r="E41" s="64" t="s">
        <x:v>110</x:v>
      </x:c>
      <x:c r="F41" s="64" t="s">
        <x:v>111</x:v>
      </x:c>
      <x:c r="G41" s="64" t="s">
        <x:v>112</x:v>
      </x:c>
      <x:c r="H41" s="112">
        <x:v>130</x:v>
      </x:c>
      <x:c r="I41" s="64" t="s">
        <x:v>104</x:v>
      </x:c>
    </x:row>
    <x:row r="42" ht="20" customHeight="1">
      <x:c r="A42" s="68">
        <x:f t="shared" si="0"/>
        <x:v>39</x:v>
      </x:c>
      <x:c r="B42" s="72">
        <x:v>46235</x:v>
      </x:c>
      <x:c r="C42" s="72">
        <x:v>46244</x:v>
      </x:c>
      <x:c r="D42" s="72">
        <x:v>46244</x:v>
      </x:c>
      <x:c r="E42" s="64" t="s">
        <x:v>101</x:v>
      </x:c>
      <x:c r="F42" s="64" t="s">
        <x:v>102</x:v>
      </x:c>
      <x:c r="G42" s="64" t="s">
        <x:v>103</x:v>
      </x:c>
      <x:c r="H42" s="112">
        <x:v>49.9</x:v>
      </x:c>
      <x:c r="I42" s="64" t="s">
        <x:v>104</x:v>
      </x:c>
    </x:row>
    <x:row r="43" ht="20" customHeight="1">
      <x:c r="A43" s="68">
        <x:f t="shared" si="0"/>
        <x:v>40</x:v>
      </x:c>
      <x:c r="B43" s="72">
        <x:v>46235</x:v>
      </x:c>
      <x:c r="C43" s="72">
        <x:v>46244</x:v>
      </x:c>
      <x:c r="D43" s="72">
        <x:v>46244</x:v>
      </x:c>
      <x:c r="E43" s="64" t="s">
        <x:v>105</x:v>
      </x:c>
      <x:c r="F43" s="64" t="s">
        <x:v>106</x:v>
      </x:c>
      <x:c r="G43" s="64" t="s">
        <x:v>103</x:v>
      </x:c>
      <x:c r="H43" s="112">
        <x:v>108.48</x:v>
      </x:c>
      <x:c r="I43" s="64" t="s">
        <x:v>104</x:v>
      </x:c>
    </x:row>
    <x:row r="44" ht="20" customHeight="1">
      <x:c r="A44" s="68">
        <x:f t="shared" si="0"/>
        <x:v>41</x:v>
      </x:c>
      <x:c r="B44" s="72">
        <x:v>46235</x:v>
      </x:c>
      <x:c r="C44" s="72">
        <x:v>46244</x:v>
      </x:c>
      <x:c r="D44" s="72">
        <x:v>46246</x:v>
      </x:c>
      <x:c r="E44" s="64" t="s">
        <x:v>107</x:v>
      </x:c>
      <x:c r="F44" s="64" t="s">
        <x:v>108</x:v>
      </x:c>
      <x:c r="G44" s="64" t="s">
        <x:v>103</x:v>
      </x:c>
      <x:c r="H44" s="112">
        <x:v>45.83</x:v>
      </x:c>
      <x:c r="I44" s="64" t="s">
        <x:v>104</x:v>
      </x:c>
    </x:row>
    <x:row r="45" ht="20" customHeight="1">
      <x:c r="A45" s="68">
        <x:f t="shared" si="0"/>
        <x:v>42</x:v>
      </x:c>
      <x:c r="B45" s="72">
        <x:v>46235</x:v>
      </x:c>
      <x:c r="C45" s="72">
        <x:v>46244</x:v>
      </x:c>
      <x:c r="D45" s="72">
        <x:v>46244</x:v>
      </x:c>
      <x:c r="E45" s="64" t="s">
        <x:v>109</x:v>
      </x:c>
      <x:c r="F45" s="64" t="s">
        <x:v>109</x:v>
      </x:c>
      <x:c r="G45" s="64" t="s">
        <x:v>103</x:v>
      </x:c>
      <x:c r="H45" s="112">
        <x:v>160</x:v>
      </x:c>
      <x:c r="I45" s="64" t="s">
        <x:v>104</x:v>
      </x:c>
    </x:row>
    <x:row r="46" ht="20" customHeight="1">
      <x:c r="A46" s="68">
        <x:f t="shared" si="0"/>
        <x:v>43</x:v>
      </x:c>
      <x:c r="B46" s="72">
        <x:v>46235</x:v>
      </x:c>
      <x:c r="C46" s="72">
        <x:v>46259</x:v>
      </x:c>
      <x:c r="D46" s="72">
        <x:v>46261</x:v>
      </x:c>
      <x:c r="E46" s="64" t="s">
        <x:v>113</x:v>
      </x:c>
      <x:c r="F46" s="64" t="s">
        <x:v>124</x:v>
      </x:c>
      <x:c r="G46" s="64" t="s">
        <x:v>112</x:v>
      </x:c>
      <x:c r="H46" s="112">
        <x:v>95</x:v>
      </x:c>
      <x:c r="I46" s="64" t="s">
        <x:v>104</x:v>
      </x:c>
    </x:row>
    <x:row r="47" ht="20" customHeight="1">
      <x:c r="A47" s="68">
        <x:f t="shared" si="0"/>
        <x:v>44</x:v>
      </x:c>
      <x:c r="B47" s="72">
        <x:v>46235</x:v>
      </x:c>
      <x:c r="C47" s="72">
        <x:v>46254</x:v>
      </x:c>
      <x:c r="D47" s="72">
        <x:v>46255</x:v>
      </x:c>
      <x:c r="E47" s="64" t="s">
        <x:v>118</x:v>
      </x:c>
      <x:c r="F47" s="64" t="s">
        <x:v>119</x:v>
      </x:c>
      <x:c r="G47" s="64" t="s">
        <x:v>112</x:v>
      </x:c>
      <x:c r="H47" s="112">
        <x:v>39.799999999999997</x:v>
      </x:c>
      <x:c r="I47" s="64" t="s">
        <x:v>104</x:v>
      </x:c>
    </x:row>
    <x:row r="48" ht="20" customHeight="1">
      <x:c r="A48" s="68">
        <x:f t="shared" si="0"/>
        <x:v>45</x:v>
      </x:c>
      <x:c r="B48" s="72">
        <x:v>46266</x:v>
      </x:c>
      <x:c r="C48" s="72">
        <x:v>46275</x:v>
      </x:c>
      <x:c r="D48" s="72"/>
      <x:c r="E48" s="64" t="s">
        <x:v>101</x:v>
      </x:c>
      <x:c r="F48" s="64" t="s">
        <x:v>102</x:v>
      </x:c>
      <x:c r="G48" s="64" t="s">
        <x:v>103</x:v>
      </x:c>
      <x:c r="H48" s="112">
        <x:v>49.9</x:v>
      </x:c>
      <x:c r="I48" s="64" t="s">
        <x:v>93</x:v>
      </x:c>
    </x:row>
    <x:row r="49" ht="20" customHeight="1">
      <x:c r="A49" s="68">
        <x:f t="shared" si="0"/>
        <x:v>46</x:v>
      </x:c>
      <x:c r="B49" s="72">
        <x:v>46266</x:v>
      </x:c>
      <x:c r="C49" s="72">
        <x:v>46275</x:v>
      </x:c>
      <x:c r="D49" s="72"/>
      <x:c r="E49" s="64" t="s">
        <x:v>105</x:v>
      </x:c>
      <x:c r="F49" s="64" t="s">
        <x:v>106</x:v>
      </x:c>
      <x:c r="G49" s="64" t="s">
        <x:v>103</x:v>
      </x:c>
      <x:c r="H49" s="112">
        <x:v>108.48</x:v>
      </x:c>
      <x:c r="I49" s="64" t="s">
        <x:v>93</x:v>
      </x:c>
    </x:row>
    <x:row r="50" ht="20" customHeight="1">
      <x:c r="A50" s="68">
        <x:f t="shared" si="0"/>
        <x:v>47</x:v>
      </x:c>
      <x:c r="B50" s="72">
        <x:v>46266</x:v>
      </x:c>
      <x:c r="C50" s="72">
        <x:v>46275</x:v>
      </x:c>
      <x:c r="D50" s="72"/>
      <x:c r="E50" s="64" t="s">
        <x:v>107</x:v>
      </x:c>
      <x:c r="F50" s="64" t="s">
        <x:v>108</x:v>
      </x:c>
      <x:c r="G50" s="64" t="s">
        <x:v>103</x:v>
      </x:c>
      <x:c r="H50" s="112">
        <x:v>45.83</x:v>
      </x:c>
      <x:c r="I50" s="64" t="s">
        <x:v>93</x:v>
      </x:c>
    </x:row>
    <x:row r="51" ht="20" customHeight="1">
      <x:c r="A51" s="68">
        <x:f t="shared" si="0"/>
        <x:v>48</x:v>
      </x:c>
      <x:c r="B51" s="72">
        <x:v>46266</x:v>
      </x:c>
      <x:c r="C51" s="72">
        <x:v>46275</x:v>
      </x:c>
      <x:c r="D51" s="72"/>
      <x:c r="E51" s="64" t="s">
        <x:v>109</x:v>
      </x:c>
      <x:c r="F51" s="64" t="s">
        <x:v>109</x:v>
      </x:c>
      <x:c r="G51" s="64" t="s">
        <x:v>103</x:v>
      </x:c>
      <x:c r="H51" s="112">
        <x:v>160</x:v>
      </x:c>
      <x:c r="I51" s="64" t="s">
        <x:v>93</x:v>
      </x:c>
    </x:row>
    <x:row r="52" ht="20" customHeight="1">
      <x:c r="A52" s="68">
        <x:f t="shared" si="0"/>
        <x:v>49</x:v>
      </x:c>
      <x:c r="B52" s="72">
        <x:v>46266</x:v>
      </x:c>
      <x:c r="C52" s="72">
        <x:v>46290</x:v>
      </x:c>
      <x:c r="D52" s="72"/>
      <x:c r="E52" s="64" t="s">
        <x:v>110</x:v>
      </x:c>
      <x:c r="F52" s="64" t="s">
        <x:v>117</x:v>
      </x:c>
      <x:c r="G52" s="64" t="s">
        <x:v>112</x:v>
      </x:c>
      <x:c r="H52" s="112">
        <x:v>160</x:v>
      </x:c>
      <x:c r="I52" s="64" t="s">
        <x:v>93</x:v>
      </x:c>
    </x:row>
    <x:row r="53" ht="20" customHeight="1">
      <x:c r="A53" s="68" t="str">
        <x:f t="shared" si="0"/>
      </x:c>
      <x:c r="B53" s="72"/>
      <x:c r="C53" s="72"/>
      <x:c r="D53" s="72"/>
      <x:c r="E53" s="64"/>
      <x:c r="F53" s="64"/>
      <x:c r="G53" s="64"/>
      <x:c r="H53" s="112"/>
      <x:c r="I53" s="64"/>
    </x:row>
    <x:row r="54" ht="20" customHeight="1">
      <x:c r="A54" s="68" t="str">
        <x:f t="shared" si="0"/>
      </x:c>
      <x:c r="B54" s="72"/>
      <x:c r="C54" s="72"/>
      <x:c r="D54" s="72"/>
      <x:c r="E54" s="64"/>
      <x:c r="F54" s="64"/>
      <x:c r="G54" s="64"/>
      <x:c r="H54" s="112"/>
      <x:c r="I54" s="64"/>
    </x:row>
    <x:row r="55" ht="20" customHeight="1">
      <x:c r="A55" s="68" t="str">
        <x:f t="shared" si="0"/>
      </x:c>
      <x:c r="B55" s="72"/>
      <x:c r="C55" s="72"/>
      <x:c r="D55" s="72"/>
      <x:c r="E55" s="64"/>
      <x:c r="F55" s="64"/>
      <x:c r="G55" s="64"/>
      <x:c r="H55" s="112"/>
      <x:c r="I55" s="64"/>
    </x:row>
    <x:row r="56" ht="20" customHeight="1">
      <x:c r="A56" s="68" t="str">
        <x:f t="shared" si="0"/>
      </x:c>
      <x:c r="B56" s="72"/>
      <x:c r="C56" s="72"/>
      <x:c r="D56" s="72"/>
      <x:c r="E56" s="64"/>
      <x:c r="F56" s="64"/>
      <x:c r="G56" s="64"/>
      <x:c r="H56" s="112"/>
      <x:c r="I56" s="64"/>
    </x:row>
    <x:row r="57" ht="20" customHeight="1">
      <x:c r="A57" s="68" t="str">
        <x:f t="shared" si="0"/>
      </x:c>
      <x:c r="B57" s="72"/>
      <x:c r="C57" s="72"/>
      <x:c r="D57" s="72"/>
      <x:c r="E57" s="64"/>
      <x:c r="F57" s="64"/>
      <x:c r="G57" s="64"/>
      <x:c r="H57" s="112"/>
      <x:c r="I57" s="64"/>
    </x:row>
    <x:row r="58" ht="20" customHeight="1">
      <x:c r="A58" s="68" t="str">
        <x:f t="shared" si="0"/>
      </x:c>
      <x:c r="B58" s="72"/>
      <x:c r="C58" s="72"/>
      <x:c r="D58" s="72"/>
      <x:c r="E58" s="64"/>
      <x:c r="F58" s="64"/>
      <x:c r="G58" s="64"/>
      <x:c r="H58" s="112"/>
      <x:c r="I58" s="64"/>
    </x:row>
    <x:row r="59" ht="20" customHeight="1">
      <x:c r="A59" s="68" t="str">
        <x:f t="shared" si="0"/>
      </x:c>
      <x:c r="B59" s="72"/>
      <x:c r="C59" s="72"/>
      <x:c r="D59" s="72"/>
      <x:c r="E59" s="64"/>
      <x:c r="F59" s="64"/>
      <x:c r="G59" s="64"/>
      <x:c r="H59" s="112"/>
      <x:c r="I59" s="64"/>
    </x:row>
    <x:row r="60" ht="20" customHeight="1">
      <x:c r="A60" s="68" t="str">
        <x:f t="shared" si="0"/>
      </x:c>
      <x:c r="B60" s="72"/>
      <x:c r="C60" s="72"/>
      <x:c r="D60" s="72"/>
      <x:c r="E60" s="64"/>
      <x:c r="F60" s="64"/>
      <x:c r="G60" s="64"/>
      <x:c r="H60" s="112"/>
      <x:c r="I60" s="64"/>
    </x:row>
    <x:row r="61" ht="20" customHeight="1">
      <x:c r="A61" s="68" t="str">
        <x:f t="shared" si="0"/>
      </x:c>
      <x:c r="B61" s="72"/>
      <x:c r="C61" s="72"/>
      <x:c r="D61" s="72"/>
      <x:c r="E61" s="64"/>
      <x:c r="F61" s="64"/>
      <x:c r="G61" s="64"/>
      <x:c r="H61" s="112"/>
      <x:c r="I61" s="64"/>
    </x:row>
    <x:row r="62" ht="20" customHeight="1">
      <x:c r="A62" s="68" t="str">
        <x:f t="shared" si="0"/>
      </x:c>
      <x:c r="B62" s="72"/>
      <x:c r="C62" s="72"/>
      <x:c r="D62" s="72"/>
      <x:c r="E62" s="64"/>
      <x:c r="F62" s="64"/>
      <x:c r="G62" s="64"/>
      <x:c r="H62" s="112"/>
      <x:c r="I62" s="64"/>
    </x:row>
    <x:row r="63" ht="20" customHeight="1">
      <x:c r="A63" s="68" t="str">
        <x:f t="shared" si="0"/>
      </x:c>
      <x:c r="B63" s="72"/>
      <x:c r="C63" s="72"/>
      <x:c r="D63" s="72"/>
      <x:c r="E63" s="64"/>
      <x:c r="F63" s="64"/>
      <x:c r="G63" s="64"/>
      <x:c r="H63" s="112"/>
      <x:c r="I63" s="64"/>
    </x:row>
    <x:row r="64" ht="20" customHeight="1">
      <x:c r="A64" s="68" t="str">
        <x:f t="shared" si="0"/>
      </x:c>
      <x:c r="B64" s="72"/>
      <x:c r="C64" s="72"/>
      <x:c r="D64" s="72"/>
      <x:c r="E64" s="64"/>
      <x:c r="F64" s="64"/>
      <x:c r="G64" s="64"/>
      <x:c r="H64" s="112"/>
      <x:c r="I64" s="64"/>
    </x:row>
    <x:row r="65" ht="20" customHeight="1">
      <x:c r="A65" s="68" t="str">
        <x:f t="shared" si="0"/>
      </x:c>
      <x:c r="B65" s="72"/>
      <x:c r="C65" s="72"/>
      <x:c r="D65" s="72"/>
      <x:c r="E65" s="64"/>
      <x:c r="F65" s="64"/>
      <x:c r="G65" s="64"/>
      <x:c r="H65" s="112"/>
      <x:c r="I65" s="64"/>
    </x:row>
    <x:row r="66" ht="20" customHeight="1">
      <x:c r="A66" s="68" t="str">
        <x:f t="shared" si="0"/>
      </x:c>
      <x:c r="B66" s="72"/>
      <x:c r="C66" s="72"/>
      <x:c r="D66" s="72"/>
      <x:c r="E66" s="64"/>
      <x:c r="F66" s="64"/>
      <x:c r="G66" s="64"/>
      <x:c r="H66" s="112"/>
      <x:c r="I66" s="64"/>
    </x:row>
    <x:row r="67" ht="20" customHeight="1">
      <x:c r="A67" s="68" t="str">
        <x:f t="shared" si="0"/>
      </x:c>
      <x:c r="B67" s="72"/>
      <x:c r="C67" s="72"/>
      <x:c r="D67" s="72"/>
      <x:c r="E67" s="64"/>
      <x:c r="F67" s="64"/>
      <x:c r="G67" s="64"/>
      <x:c r="H67" s="112"/>
      <x:c r="I67" s="64"/>
    </x:row>
    <x:row r="68" ht="20" customHeight="1">
      <x:c r="A68" s="68" t="str">
        <x:f t="shared" ref="A68:A131" si="1">IF(F68="","",ROW()-3)</x:f>
      </x:c>
      <x:c r="B68" s="72"/>
      <x:c r="C68" s="72"/>
      <x:c r="D68" s="72"/>
      <x:c r="E68" s="64"/>
      <x:c r="F68" s="64"/>
      <x:c r="G68" s="64"/>
      <x:c r="H68" s="112"/>
      <x:c r="I68" s="64"/>
    </x:row>
    <x:row r="69" ht="20" customHeight="1">
      <x:c r="A69" s="68" t="str">
        <x:f t="shared" si="1"/>
      </x:c>
      <x:c r="B69" s="72"/>
      <x:c r="C69" s="72"/>
      <x:c r="D69" s="72"/>
      <x:c r="E69" s="64"/>
      <x:c r="F69" s="64"/>
      <x:c r="G69" s="64"/>
      <x:c r="H69" s="112"/>
      <x:c r="I69" s="64"/>
    </x:row>
    <x:row r="70" ht="20" customHeight="1">
      <x:c r="A70" s="68" t="str">
        <x:f t="shared" si="1"/>
      </x:c>
      <x:c r="B70" s="72"/>
      <x:c r="C70" s="72"/>
      <x:c r="D70" s="72"/>
      <x:c r="E70" s="64"/>
      <x:c r="F70" s="64"/>
      <x:c r="G70" s="64"/>
      <x:c r="H70" s="112"/>
      <x:c r="I70" s="64"/>
    </x:row>
    <x:row r="71" ht="20" customHeight="1">
      <x:c r="A71" s="68" t="str">
        <x:f t="shared" si="1"/>
      </x:c>
      <x:c r="B71" s="72"/>
      <x:c r="C71" s="72"/>
      <x:c r="D71" s="72"/>
      <x:c r="E71" s="64"/>
      <x:c r="F71" s="64"/>
      <x:c r="G71" s="64"/>
      <x:c r="H71" s="112"/>
      <x:c r="I71" s="64"/>
    </x:row>
    <x:row r="72" ht="20" customHeight="1">
      <x:c r="A72" s="68" t="str">
        <x:f t="shared" si="1"/>
      </x:c>
      <x:c r="B72" s="72"/>
      <x:c r="C72" s="72"/>
      <x:c r="D72" s="72"/>
      <x:c r="E72" s="64"/>
      <x:c r="F72" s="64"/>
      <x:c r="G72" s="64"/>
      <x:c r="H72" s="112"/>
      <x:c r="I72" s="64"/>
    </x:row>
    <x:row r="73" ht="20" customHeight="1">
      <x:c r="A73" s="68" t="str">
        <x:f t="shared" si="1"/>
      </x:c>
      <x:c r="B73" s="72"/>
      <x:c r="C73" s="72"/>
      <x:c r="D73" s="72"/>
      <x:c r="E73" s="64"/>
      <x:c r="F73" s="64"/>
      <x:c r="G73" s="64"/>
      <x:c r="H73" s="112"/>
      <x:c r="I73" s="64"/>
    </x:row>
    <x:row r="74" ht="20" customHeight="1">
      <x:c r="A74" s="68" t="str">
        <x:f t="shared" si="1"/>
      </x:c>
      <x:c r="B74" s="72"/>
      <x:c r="C74" s="72"/>
      <x:c r="D74" s="72"/>
      <x:c r="E74" s="64"/>
      <x:c r="F74" s="64"/>
      <x:c r="G74" s="64"/>
      <x:c r="H74" s="112"/>
      <x:c r="I74" s="64"/>
    </x:row>
    <x:row r="75" ht="20" customHeight="1">
      <x:c r="A75" s="68" t="str">
        <x:f t="shared" si="1"/>
      </x:c>
      <x:c r="B75" s="72"/>
      <x:c r="C75" s="72"/>
      <x:c r="D75" s="72"/>
      <x:c r="E75" s="64"/>
      <x:c r="F75" s="64"/>
      <x:c r="G75" s="64"/>
      <x:c r="H75" s="112"/>
      <x:c r="I75" s="64"/>
    </x:row>
    <x:row r="76" ht="20" customHeight="1">
      <x:c r="A76" s="68" t="str">
        <x:f t="shared" si="1"/>
      </x:c>
      <x:c r="B76" s="72"/>
      <x:c r="C76" s="72"/>
      <x:c r="D76" s="72"/>
      <x:c r="E76" s="64"/>
      <x:c r="F76" s="64"/>
      <x:c r="G76" s="64"/>
      <x:c r="H76" s="112"/>
      <x:c r="I76" s="64"/>
    </x:row>
    <x:row r="77" ht="20" customHeight="1">
      <x:c r="A77" s="68" t="str">
        <x:f t="shared" si="1"/>
      </x:c>
      <x:c r="B77" s="72"/>
      <x:c r="C77" s="72"/>
      <x:c r="D77" s="72"/>
      <x:c r="E77" s="64"/>
      <x:c r="F77" s="64"/>
      <x:c r="G77" s="64"/>
      <x:c r="H77" s="112"/>
      <x:c r="I77" s="64"/>
    </x:row>
    <x:row r="78" ht="20" customHeight="1">
      <x:c r="A78" s="68" t="str">
        <x:f t="shared" si="1"/>
      </x:c>
      <x:c r="B78" s="72"/>
      <x:c r="C78" s="72"/>
      <x:c r="D78" s="72"/>
      <x:c r="E78" s="64"/>
      <x:c r="F78" s="64"/>
      <x:c r="G78" s="64"/>
      <x:c r="H78" s="112"/>
      <x:c r="I78" s="64"/>
    </x:row>
    <x:row r="79" ht="20" customHeight="1">
      <x:c r="A79" s="68" t="str">
        <x:f t="shared" si="1"/>
      </x:c>
      <x:c r="B79" s="72"/>
      <x:c r="C79" s="72"/>
      <x:c r="D79" s="72"/>
      <x:c r="E79" s="64"/>
      <x:c r="F79" s="64"/>
      <x:c r="G79" s="64"/>
      <x:c r="H79" s="112"/>
      <x:c r="I79" s="64"/>
    </x:row>
    <x:row r="80" ht="20" customHeight="1">
      <x:c r="A80" s="68" t="str">
        <x:f t="shared" si="1"/>
      </x:c>
      <x:c r="B80" s="72"/>
      <x:c r="C80" s="72"/>
      <x:c r="D80" s="72"/>
      <x:c r="E80" s="64"/>
      <x:c r="F80" s="64"/>
      <x:c r="G80" s="64"/>
      <x:c r="H80" s="112"/>
      <x:c r="I80" s="64"/>
    </x:row>
    <x:row r="81" ht="20" customHeight="1">
      <x:c r="A81" s="68" t="str">
        <x:f t="shared" si="1"/>
      </x:c>
      <x:c r="B81" s="72"/>
      <x:c r="C81" s="72"/>
      <x:c r="D81" s="72"/>
      <x:c r="E81" s="64"/>
      <x:c r="F81" s="64"/>
      <x:c r="G81" s="64"/>
      <x:c r="H81" s="112"/>
      <x:c r="I81" s="64"/>
    </x:row>
    <x:row r="82" ht="20" customHeight="1">
      <x:c r="A82" s="68" t="str">
        <x:f t="shared" si="1"/>
      </x:c>
      <x:c r="B82" s="72"/>
      <x:c r="C82" s="72"/>
      <x:c r="D82" s="72"/>
      <x:c r="E82" s="64"/>
      <x:c r="F82" s="64"/>
      <x:c r="G82" s="64"/>
      <x:c r="H82" s="112"/>
      <x:c r="I82" s="64"/>
    </x:row>
    <x:row r="83" ht="20" customHeight="1">
      <x:c r="A83" s="68" t="str">
        <x:f t="shared" si="1"/>
      </x:c>
      <x:c r="B83" s="72"/>
      <x:c r="C83" s="72"/>
      <x:c r="D83" s="72"/>
      <x:c r="E83" s="64"/>
      <x:c r="F83" s="64"/>
      <x:c r="G83" s="64"/>
      <x:c r="H83" s="112"/>
      <x:c r="I83" s="64"/>
    </x:row>
    <x:row r="84" ht="20" customHeight="1">
      <x:c r="A84" s="68" t="str">
        <x:f t="shared" si="1"/>
      </x:c>
      <x:c r="B84" s="72"/>
      <x:c r="C84" s="72"/>
      <x:c r="D84" s="72"/>
      <x:c r="E84" s="64"/>
      <x:c r="F84" s="64"/>
      <x:c r="G84" s="64"/>
      <x:c r="H84" s="112"/>
      <x:c r="I84" s="64"/>
    </x:row>
    <x:row r="85" ht="20" customHeight="1">
      <x:c r="A85" s="68" t="str">
        <x:f t="shared" si="1"/>
      </x:c>
      <x:c r="B85" s="72"/>
      <x:c r="C85" s="72"/>
      <x:c r="D85" s="72"/>
      <x:c r="E85" s="64"/>
      <x:c r="F85" s="64"/>
      <x:c r="G85" s="64"/>
      <x:c r="H85" s="112"/>
      <x:c r="I85" s="64"/>
    </x:row>
    <x:row r="86" ht="20" customHeight="1">
      <x:c r="A86" s="68" t="str">
        <x:f t="shared" si="1"/>
      </x:c>
      <x:c r="B86" s="72"/>
      <x:c r="C86" s="72"/>
      <x:c r="D86" s="72"/>
      <x:c r="E86" s="64"/>
      <x:c r="F86" s="64"/>
      <x:c r="G86" s="64"/>
      <x:c r="H86" s="112"/>
      <x:c r="I86" s="64"/>
    </x:row>
    <x:row r="87" ht="20" customHeight="1">
      <x:c r="A87" s="68" t="str">
        <x:f t="shared" si="1"/>
      </x:c>
      <x:c r="B87" s="72"/>
      <x:c r="C87" s="72"/>
      <x:c r="D87" s="72"/>
      <x:c r="E87" s="64"/>
      <x:c r="F87" s="64"/>
      <x:c r="G87" s="64"/>
      <x:c r="H87" s="112"/>
      <x:c r="I87" s="64"/>
    </x:row>
    <x:row r="88" ht="20" customHeight="1">
      <x:c r="A88" s="68" t="str">
        <x:f t="shared" si="1"/>
      </x:c>
      <x:c r="B88" s="72"/>
      <x:c r="C88" s="72"/>
      <x:c r="D88" s="72"/>
      <x:c r="E88" s="64"/>
      <x:c r="F88" s="64"/>
      <x:c r="G88" s="64"/>
      <x:c r="H88" s="112"/>
      <x:c r="I88" s="64"/>
    </x:row>
    <x:row r="89" ht="20" customHeight="1">
      <x:c r="A89" s="68" t="str">
        <x:f t="shared" si="1"/>
      </x:c>
      <x:c r="B89" s="72"/>
      <x:c r="C89" s="72"/>
      <x:c r="D89" s="72"/>
      <x:c r="E89" s="64"/>
      <x:c r="F89" s="64"/>
      <x:c r="G89" s="64"/>
      <x:c r="H89" s="112"/>
      <x:c r="I89" s="64"/>
    </x:row>
    <x:row r="90" ht="20" customHeight="1">
      <x:c r="A90" s="68" t="str">
        <x:f t="shared" si="1"/>
      </x:c>
      <x:c r="B90" s="72"/>
      <x:c r="C90" s="72"/>
      <x:c r="D90" s="72"/>
      <x:c r="E90" s="64"/>
      <x:c r="F90" s="64"/>
      <x:c r="G90" s="64"/>
      <x:c r="H90" s="112"/>
      <x:c r="I90" s="64"/>
    </x:row>
    <x:row r="91" ht="20" customHeight="1">
      <x:c r="A91" s="68" t="str">
        <x:f t="shared" si="1"/>
      </x:c>
      <x:c r="B91" s="72"/>
      <x:c r="C91" s="72"/>
      <x:c r="D91" s="72"/>
      <x:c r="E91" s="64"/>
      <x:c r="F91" s="64"/>
      <x:c r="G91" s="64"/>
      <x:c r="H91" s="112"/>
      <x:c r="I91" s="64"/>
    </x:row>
    <x:row r="92" ht="20" customHeight="1">
      <x:c r="A92" s="68" t="str">
        <x:f t="shared" si="1"/>
      </x:c>
      <x:c r="B92" s="72"/>
      <x:c r="C92" s="72"/>
      <x:c r="D92" s="72"/>
      <x:c r="E92" s="64"/>
      <x:c r="F92" s="64"/>
      <x:c r="G92" s="64"/>
      <x:c r="H92" s="112"/>
      <x:c r="I92" s="64"/>
    </x:row>
    <x:row r="93" ht="20" customHeight="1">
      <x:c r="A93" s="68" t="str">
        <x:f t="shared" si="1"/>
      </x:c>
      <x:c r="B93" s="72"/>
      <x:c r="C93" s="72"/>
      <x:c r="D93" s="72"/>
      <x:c r="E93" s="64"/>
      <x:c r="F93" s="64"/>
      <x:c r="G93" s="64"/>
      <x:c r="H93" s="112"/>
      <x:c r="I93" s="64"/>
    </x:row>
    <x:row r="94" ht="20" customHeight="1">
      <x:c r="A94" s="68" t="str">
        <x:f t="shared" si="1"/>
      </x:c>
      <x:c r="B94" s="72"/>
      <x:c r="C94" s="72"/>
      <x:c r="D94" s="72"/>
      <x:c r="E94" s="64"/>
      <x:c r="F94" s="64"/>
      <x:c r="G94" s="64"/>
      <x:c r="H94" s="112"/>
      <x:c r="I94" s="64"/>
    </x:row>
    <x:row r="95" ht="20" customHeight="1">
      <x:c r="A95" s="68" t="str">
        <x:f t="shared" si="1"/>
      </x:c>
      <x:c r="B95" s="72"/>
      <x:c r="C95" s="72"/>
      <x:c r="D95" s="72"/>
      <x:c r="E95" s="64"/>
      <x:c r="F95" s="64"/>
      <x:c r="G95" s="64"/>
      <x:c r="H95" s="112"/>
      <x:c r="I95" s="64"/>
    </x:row>
    <x:row r="96" ht="20" customHeight="1">
      <x:c r="A96" s="68" t="str">
        <x:f t="shared" si="1"/>
      </x:c>
      <x:c r="B96" s="72"/>
      <x:c r="C96" s="72"/>
      <x:c r="D96" s="72"/>
      <x:c r="E96" s="64"/>
      <x:c r="F96" s="64"/>
      <x:c r="G96" s="64"/>
      <x:c r="H96" s="112"/>
      <x:c r="I96" s="64"/>
    </x:row>
    <x:row r="97" ht="20" customHeight="1">
      <x:c r="A97" s="68" t="str">
        <x:f t="shared" si="1"/>
      </x:c>
      <x:c r="B97" s="72"/>
      <x:c r="C97" s="72"/>
      <x:c r="D97" s="72"/>
      <x:c r="E97" s="64"/>
      <x:c r="F97" s="64"/>
      <x:c r="G97" s="64"/>
      <x:c r="H97" s="112"/>
      <x:c r="I97" s="64"/>
    </x:row>
    <x:row r="98" ht="20" customHeight="1">
      <x:c r="A98" s="68" t="str">
        <x:f t="shared" si="1"/>
      </x:c>
      <x:c r="B98" s="72"/>
      <x:c r="C98" s="72"/>
      <x:c r="D98" s="72"/>
      <x:c r="E98" s="64"/>
      <x:c r="F98" s="64"/>
      <x:c r="G98" s="64"/>
      <x:c r="H98" s="112"/>
      <x:c r="I98" s="64"/>
    </x:row>
    <x:row r="99" ht="20" customHeight="1">
      <x:c r="A99" s="68" t="str">
        <x:f t="shared" si="1"/>
      </x:c>
      <x:c r="B99" s="72"/>
      <x:c r="C99" s="72"/>
      <x:c r="D99" s="72"/>
      <x:c r="E99" s="64"/>
      <x:c r="F99" s="64"/>
      <x:c r="G99" s="64"/>
      <x:c r="H99" s="112"/>
      <x:c r="I99" s="64"/>
    </x:row>
    <x:row r="100" ht="20" customHeight="1">
      <x:c r="A100" s="68" t="str">
        <x:f t="shared" si="1"/>
      </x:c>
      <x:c r="B100" s="72"/>
      <x:c r="C100" s="72"/>
      <x:c r="D100" s="72"/>
      <x:c r="E100" s="64"/>
      <x:c r="F100" s="64"/>
      <x:c r="G100" s="64"/>
      <x:c r="H100" s="112"/>
      <x:c r="I100" s="64"/>
    </x:row>
    <x:row r="101" ht="20" customHeight="1">
      <x:c r="A101" s="68" t="str">
        <x:f t="shared" si="1"/>
      </x:c>
      <x:c r="B101" s="72"/>
      <x:c r="C101" s="72"/>
      <x:c r="D101" s="72"/>
      <x:c r="E101" s="64"/>
      <x:c r="F101" s="64"/>
      <x:c r="G101" s="64"/>
      <x:c r="H101" s="112"/>
      <x:c r="I101" s="64"/>
    </x:row>
    <x:row r="102" ht="20" customHeight="1">
      <x:c r="A102" s="68" t="str">
        <x:f t="shared" si="1"/>
      </x:c>
      <x:c r="B102" s="72"/>
      <x:c r="C102" s="72"/>
      <x:c r="D102" s="72"/>
      <x:c r="E102" s="64"/>
      <x:c r="F102" s="64"/>
      <x:c r="G102" s="64"/>
      <x:c r="H102" s="112"/>
      <x:c r="I102" s="64"/>
    </x:row>
    <x:row r="103" ht="20" customHeight="1">
      <x:c r="A103" s="68" t="str">
        <x:f t="shared" si="1"/>
      </x:c>
      <x:c r="B103" s="72"/>
      <x:c r="C103" s="72"/>
      <x:c r="D103" s="72"/>
      <x:c r="E103" s="64"/>
      <x:c r="F103" s="64"/>
      <x:c r="G103" s="64"/>
      <x:c r="H103" s="112"/>
      <x:c r="I103" s="64"/>
    </x:row>
    <x:row r="104" ht="20" customHeight="1">
      <x:c r="A104" s="68" t="str">
        <x:f t="shared" si="1"/>
      </x:c>
      <x:c r="B104" s="72"/>
      <x:c r="C104" s="72"/>
      <x:c r="D104" s="72"/>
      <x:c r="E104" s="64"/>
      <x:c r="F104" s="64"/>
      <x:c r="G104" s="64"/>
      <x:c r="H104" s="112"/>
      <x:c r="I104" s="64"/>
    </x:row>
    <x:row r="105" ht="20" customHeight="1">
      <x:c r="A105" s="68" t="str">
        <x:f t="shared" si="1"/>
      </x:c>
      <x:c r="B105" s="72"/>
      <x:c r="C105" s="72"/>
      <x:c r="D105" s="72"/>
      <x:c r="E105" s="64"/>
      <x:c r="F105" s="64"/>
      <x:c r="G105" s="64"/>
      <x:c r="H105" s="112"/>
      <x:c r="I105" s="64"/>
    </x:row>
    <x:row r="106" ht="20" customHeight="1">
      <x:c r="A106" s="68" t="str">
        <x:f t="shared" si="1"/>
      </x:c>
      <x:c r="B106" s="72"/>
      <x:c r="C106" s="72"/>
      <x:c r="D106" s="72"/>
      <x:c r="E106" s="64"/>
      <x:c r="F106" s="64"/>
      <x:c r="G106" s="64"/>
      <x:c r="H106" s="112"/>
      <x:c r="I106" s="64"/>
    </x:row>
    <x:row r="107" ht="20" customHeight="1">
      <x:c r="A107" s="68" t="str">
        <x:f t="shared" si="1"/>
      </x:c>
      <x:c r="B107" s="72"/>
      <x:c r="C107" s="72"/>
      <x:c r="D107" s="72"/>
      <x:c r="E107" s="64"/>
      <x:c r="F107" s="64"/>
      <x:c r="G107" s="64"/>
      <x:c r="H107" s="112"/>
      <x:c r="I107" s="64"/>
    </x:row>
    <x:row r="108" ht="20" customHeight="1">
      <x:c r="A108" s="68" t="str">
        <x:f t="shared" si="1"/>
      </x:c>
      <x:c r="B108" s="72"/>
      <x:c r="C108" s="72"/>
      <x:c r="D108" s="72"/>
      <x:c r="E108" s="64"/>
      <x:c r="F108" s="64"/>
      <x:c r="G108" s="64"/>
      <x:c r="H108" s="112"/>
      <x:c r="I108" s="64"/>
    </x:row>
    <x:row r="109" ht="20" customHeight="1">
      <x:c r="A109" s="68" t="str">
        <x:f t="shared" si="1"/>
      </x:c>
      <x:c r="B109" s="72"/>
      <x:c r="C109" s="72"/>
      <x:c r="D109" s="72"/>
      <x:c r="E109" s="64"/>
      <x:c r="F109" s="64"/>
      <x:c r="G109" s="64"/>
      <x:c r="H109" s="112"/>
      <x:c r="I109" s="64"/>
    </x:row>
    <x:row r="110" ht="20" customHeight="1">
      <x:c r="A110" s="68" t="str">
        <x:f t="shared" si="1"/>
      </x:c>
      <x:c r="B110" s="72"/>
      <x:c r="C110" s="72"/>
      <x:c r="D110" s="72"/>
      <x:c r="E110" s="64"/>
      <x:c r="F110" s="64"/>
      <x:c r="G110" s="64"/>
      <x:c r="H110" s="112"/>
      <x:c r="I110" s="64"/>
    </x:row>
    <x:row r="111" ht="20" customHeight="1">
      <x:c r="A111" s="68" t="str">
        <x:f t="shared" si="1"/>
      </x:c>
      <x:c r="B111" s="72"/>
      <x:c r="C111" s="72"/>
      <x:c r="D111" s="72"/>
      <x:c r="E111" s="64"/>
      <x:c r="F111" s="64"/>
      <x:c r="G111" s="64"/>
      <x:c r="H111" s="112"/>
      <x:c r="I111" s="64"/>
    </x:row>
    <x:row r="112" ht="20" customHeight="1">
      <x:c r="A112" s="68" t="str">
        <x:f t="shared" si="1"/>
      </x:c>
      <x:c r="B112" s="72"/>
      <x:c r="C112" s="72"/>
      <x:c r="D112" s="72"/>
      <x:c r="E112" s="64"/>
      <x:c r="F112" s="64"/>
      <x:c r="G112" s="64"/>
      <x:c r="H112" s="112"/>
      <x:c r="I112" s="64"/>
    </x:row>
    <x:row r="113" ht="20" customHeight="1">
      <x:c r="A113" s="68" t="str">
        <x:f t="shared" si="1"/>
      </x:c>
      <x:c r="B113" s="72"/>
      <x:c r="C113" s="72"/>
      <x:c r="D113" s="72"/>
      <x:c r="E113" s="64"/>
      <x:c r="F113" s="64"/>
      <x:c r="G113" s="64"/>
      <x:c r="H113" s="112"/>
      <x:c r="I113" s="64"/>
    </x:row>
    <x:row r="114" ht="20" customHeight="1">
      <x:c r="A114" s="68" t="str">
        <x:f t="shared" si="1"/>
      </x:c>
      <x:c r="B114" s="72"/>
      <x:c r="C114" s="72"/>
      <x:c r="D114" s="72"/>
      <x:c r="E114" s="64"/>
      <x:c r="F114" s="64"/>
      <x:c r="G114" s="64"/>
      <x:c r="H114" s="112"/>
      <x:c r="I114" s="64"/>
    </x:row>
    <x:row r="115" ht="20" customHeight="1">
      <x:c r="A115" s="68" t="str">
        <x:f t="shared" si="1"/>
      </x:c>
      <x:c r="B115" s="72"/>
      <x:c r="C115" s="72"/>
      <x:c r="D115" s="72"/>
      <x:c r="E115" s="64"/>
      <x:c r="F115" s="64"/>
      <x:c r="G115" s="64"/>
      <x:c r="H115" s="112"/>
      <x:c r="I115" s="64"/>
    </x:row>
    <x:row r="116" ht="20" customHeight="1">
      <x:c r="A116" s="68" t="str">
        <x:f t="shared" si="1"/>
      </x:c>
      <x:c r="B116" s="72"/>
      <x:c r="C116" s="72"/>
      <x:c r="D116" s="72"/>
      <x:c r="E116" s="64"/>
      <x:c r="F116" s="64"/>
      <x:c r="G116" s="64"/>
      <x:c r="H116" s="112"/>
      <x:c r="I116" s="64"/>
    </x:row>
    <x:row r="117" ht="20" customHeight="1">
      <x:c r="A117" s="68" t="str">
        <x:f t="shared" si="1"/>
      </x:c>
      <x:c r="B117" s="72"/>
      <x:c r="C117" s="72"/>
      <x:c r="D117" s="72"/>
      <x:c r="E117" s="64"/>
      <x:c r="F117" s="64"/>
      <x:c r="G117" s="64"/>
      <x:c r="H117" s="112"/>
      <x:c r="I117" s="64"/>
    </x:row>
    <x:row r="118" ht="20" customHeight="1">
      <x:c r="A118" s="68" t="str">
        <x:f t="shared" si="1"/>
      </x:c>
      <x:c r="B118" s="72"/>
      <x:c r="C118" s="72"/>
      <x:c r="D118" s="72"/>
      <x:c r="E118" s="64"/>
      <x:c r="F118" s="64"/>
      <x:c r="G118" s="64"/>
      <x:c r="H118" s="112"/>
      <x:c r="I118" s="64"/>
    </x:row>
    <x:row r="119" ht="20" customHeight="1">
      <x:c r="A119" s="68" t="str">
        <x:f t="shared" si="1"/>
      </x:c>
      <x:c r="B119" s="72"/>
      <x:c r="C119" s="72"/>
      <x:c r="D119" s="72"/>
      <x:c r="E119" s="64"/>
      <x:c r="F119" s="64"/>
      <x:c r="G119" s="64"/>
      <x:c r="H119" s="112"/>
      <x:c r="I119" s="64"/>
    </x:row>
    <x:row r="120" ht="20" customHeight="1">
      <x:c r="A120" s="68" t="str">
        <x:f t="shared" si="1"/>
      </x:c>
      <x:c r="B120" s="72"/>
      <x:c r="C120" s="72"/>
      <x:c r="D120" s="72"/>
      <x:c r="E120" s="64"/>
      <x:c r="F120" s="64"/>
      <x:c r="G120" s="64"/>
      <x:c r="H120" s="112"/>
      <x:c r="I120" s="64"/>
    </x:row>
    <x:row r="121" ht="20" customHeight="1">
      <x:c r="A121" s="68" t="str">
        <x:f t="shared" si="1"/>
      </x:c>
      <x:c r="B121" s="72"/>
      <x:c r="C121" s="72"/>
      <x:c r="D121" s="72"/>
      <x:c r="E121" s="64"/>
      <x:c r="F121" s="64"/>
      <x:c r="G121" s="64"/>
      <x:c r="H121" s="112"/>
      <x:c r="I121" s="64"/>
    </x:row>
    <x:row r="122" ht="20" customHeight="1">
      <x:c r="A122" s="68" t="str">
        <x:f t="shared" si="1"/>
      </x:c>
      <x:c r="B122" s="72"/>
      <x:c r="C122" s="72"/>
      <x:c r="D122" s="72"/>
      <x:c r="E122" s="64"/>
      <x:c r="F122" s="64"/>
      <x:c r="G122" s="64"/>
      <x:c r="H122" s="112"/>
      <x:c r="I122" s="64"/>
    </x:row>
    <x:row r="123" ht="20" customHeight="1">
      <x:c r="A123" s="68" t="str">
        <x:f t="shared" si="1"/>
      </x:c>
      <x:c r="B123" s="72"/>
      <x:c r="C123" s="72"/>
      <x:c r="D123" s="72"/>
      <x:c r="E123" s="64"/>
      <x:c r="F123" s="64"/>
      <x:c r="G123" s="64"/>
      <x:c r="H123" s="112"/>
      <x:c r="I123" s="64"/>
    </x:row>
    <x:row r="124" ht="20" customHeight="1">
      <x:c r="A124" s="68" t="str">
        <x:f t="shared" si="1"/>
      </x:c>
      <x:c r="B124" s="72"/>
      <x:c r="C124" s="72"/>
      <x:c r="D124" s="72"/>
      <x:c r="E124" s="64"/>
      <x:c r="F124" s="64"/>
      <x:c r="G124" s="64"/>
      <x:c r="H124" s="112"/>
      <x:c r="I124" s="64"/>
    </x:row>
    <x:row r="125" ht="20" customHeight="1">
      <x:c r="A125" s="68" t="str">
        <x:f t="shared" si="1"/>
      </x:c>
      <x:c r="B125" s="72"/>
      <x:c r="C125" s="72"/>
      <x:c r="D125" s="72"/>
      <x:c r="E125" s="64"/>
      <x:c r="F125" s="64"/>
      <x:c r="G125" s="64"/>
      <x:c r="H125" s="112"/>
      <x:c r="I125" s="64"/>
    </x:row>
    <x:row r="126" ht="20" customHeight="1">
      <x:c r="A126" s="68" t="str">
        <x:f t="shared" si="1"/>
      </x:c>
      <x:c r="B126" s="72"/>
      <x:c r="C126" s="72"/>
      <x:c r="D126" s="72"/>
      <x:c r="E126" s="64"/>
      <x:c r="F126" s="64"/>
      <x:c r="G126" s="64"/>
      <x:c r="H126" s="112"/>
      <x:c r="I126" s="64"/>
    </x:row>
    <x:row r="127" ht="20" customHeight="1">
      <x:c r="A127" s="68" t="str">
        <x:f t="shared" si="1"/>
      </x:c>
      <x:c r="B127" s="72"/>
      <x:c r="C127" s="72"/>
      <x:c r="D127" s="72"/>
      <x:c r="E127" s="64"/>
      <x:c r="F127" s="64"/>
      <x:c r="G127" s="64"/>
      <x:c r="H127" s="112"/>
      <x:c r="I127" s="64"/>
    </x:row>
    <x:row r="128" ht="20" customHeight="1">
      <x:c r="A128" s="68" t="str">
        <x:f t="shared" si="1"/>
      </x:c>
      <x:c r="B128" s="72"/>
      <x:c r="C128" s="72"/>
      <x:c r="D128" s="72"/>
      <x:c r="E128" s="64"/>
      <x:c r="F128" s="64"/>
      <x:c r="G128" s="64"/>
      <x:c r="H128" s="112"/>
      <x:c r="I128" s="64"/>
    </x:row>
    <x:row r="129" ht="20" customHeight="1">
      <x:c r="A129" s="68" t="str">
        <x:f t="shared" si="1"/>
      </x:c>
      <x:c r="B129" s="72"/>
      <x:c r="C129" s="72"/>
      <x:c r="D129" s="72"/>
      <x:c r="E129" s="64"/>
      <x:c r="F129" s="64"/>
      <x:c r="G129" s="64"/>
      <x:c r="H129" s="112"/>
      <x:c r="I129" s="64"/>
    </x:row>
    <x:row r="130" ht="20" customHeight="1">
      <x:c r="A130" s="68" t="str">
        <x:f t="shared" si="1"/>
      </x:c>
      <x:c r="B130" s="72"/>
      <x:c r="C130" s="72"/>
      <x:c r="D130" s="72"/>
      <x:c r="E130" s="64"/>
      <x:c r="F130" s="64"/>
      <x:c r="G130" s="64"/>
      <x:c r="H130" s="112"/>
      <x:c r="I130" s="64"/>
    </x:row>
    <x:row r="131" ht="20" customHeight="1">
      <x:c r="A131" s="68" t="str">
        <x:f t="shared" si="1"/>
      </x:c>
      <x:c r="B131" s="72"/>
      <x:c r="C131" s="72"/>
      <x:c r="D131" s="72"/>
      <x:c r="E131" s="64"/>
      <x:c r="F131" s="64"/>
      <x:c r="G131" s="64"/>
      <x:c r="H131" s="112"/>
      <x:c r="I131" s="64"/>
    </x:row>
    <x:row r="132" ht="20" customHeight="1">
      <x:c r="A132" s="68" t="str">
        <x:f t="shared" ref="A132:A195" si="2">IF(F132="","",ROW()-3)</x:f>
      </x:c>
      <x:c r="B132" s="72"/>
      <x:c r="C132" s="72"/>
      <x:c r="D132" s="72"/>
      <x:c r="E132" s="64"/>
      <x:c r="F132" s="64"/>
      <x:c r="G132" s="64"/>
      <x:c r="H132" s="112"/>
      <x:c r="I132" s="64"/>
    </x:row>
    <x:row r="133" ht="20" customHeight="1">
      <x:c r="A133" s="68" t="str">
        <x:f t="shared" si="2"/>
      </x:c>
      <x:c r="B133" s="72"/>
      <x:c r="C133" s="72"/>
      <x:c r="D133" s="72"/>
      <x:c r="E133" s="64"/>
      <x:c r="F133" s="64"/>
      <x:c r="G133" s="64"/>
      <x:c r="H133" s="112"/>
      <x:c r="I133" s="64"/>
    </x:row>
    <x:row r="134" ht="20" customHeight="1">
      <x:c r="A134" s="68" t="str">
        <x:f t="shared" si="2"/>
      </x:c>
      <x:c r="B134" s="72"/>
      <x:c r="C134" s="72"/>
      <x:c r="D134" s="72"/>
      <x:c r="E134" s="64"/>
      <x:c r="F134" s="64"/>
      <x:c r="G134" s="64"/>
      <x:c r="H134" s="112"/>
      <x:c r="I134" s="64"/>
    </x:row>
    <x:row r="135" ht="20" customHeight="1">
      <x:c r="A135" s="68" t="str">
        <x:f t="shared" si="2"/>
      </x:c>
      <x:c r="B135" s="72"/>
      <x:c r="C135" s="72"/>
      <x:c r="D135" s="72"/>
      <x:c r="E135" s="64"/>
      <x:c r="F135" s="64"/>
      <x:c r="G135" s="64"/>
      <x:c r="H135" s="112"/>
      <x:c r="I135" s="64"/>
    </x:row>
    <x:row r="136" ht="20" customHeight="1">
      <x:c r="A136" s="68" t="str">
        <x:f t="shared" si="2"/>
      </x:c>
      <x:c r="B136" s="72"/>
      <x:c r="C136" s="72"/>
      <x:c r="D136" s="72"/>
      <x:c r="E136" s="64"/>
      <x:c r="F136" s="64"/>
      <x:c r="G136" s="64"/>
      <x:c r="H136" s="112"/>
      <x:c r="I136" s="64"/>
    </x:row>
    <x:row r="137" ht="20" customHeight="1">
      <x:c r="A137" s="68" t="str">
        <x:f t="shared" si="2"/>
      </x:c>
      <x:c r="B137" s="72"/>
      <x:c r="C137" s="72"/>
      <x:c r="D137" s="72"/>
      <x:c r="E137" s="64"/>
      <x:c r="F137" s="64"/>
      <x:c r="G137" s="64"/>
      <x:c r="H137" s="112"/>
      <x:c r="I137" s="64"/>
    </x:row>
    <x:row r="138" ht="20" customHeight="1">
      <x:c r="A138" s="68" t="str">
        <x:f t="shared" si="2"/>
      </x:c>
      <x:c r="B138" s="72"/>
      <x:c r="C138" s="72"/>
      <x:c r="D138" s="72"/>
      <x:c r="E138" s="64"/>
      <x:c r="F138" s="64"/>
      <x:c r="G138" s="64"/>
      <x:c r="H138" s="112"/>
      <x:c r="I138" s="64"/>
    </x:row>
    <x:row r="139" ht="20" customHeight="1">
      <x:c r="A139" s="68" t="str">
        <x:f t="shared" si="2"/>
      </x:c>
      <x:c r="B139" s="72"/>
      <x:c r="C139" s="72"/>
      <x:c r="D139" s="72"/>
      <x:c r="E139" s="64"/>
      <x:c r="F139" s="64"/>
      <x:c r="G139" s="64"/>
      <x:c r="H139" s="112"/>
      <x:c r="I139" s="64"/>
    </x:row>
    <x:row r="140" ht="20" customHeight="1">
      <x:c r="A140" s="68" t="str">
        <x:f t="shared" si="2"/>
      </x:c>
      <x:c r="B140" s="72"/>
      <x:c r="C140" s="72"/>
      <x:c r="D140" s="72"/>
      <x:c r="E140" s="64"/>
      <x:c r="F140" s="64"/>
      <x:c r="G140" s="64"/>
      <x:c r="H140" s="112"/>
      <x:c r="I140" s="64"/>
    </x:row>
    <x:row r="141" ht="20" customHeight="1">
      <x:c r="A141" s="68" t="str">
        <x:f t="shared" si="2"/>
      </x:c>
      <x:c r="B141" s="72"/>
      <x:c r="C141" s="72"/>
      <x:c r="D141" s="72"/>
      <x:c r="E141" s="64"/>
      <x:c r="F141" s="64"/>
      <x:c r="G141" s="64"/>
      <x:c r="H141" s="112"/>
      <x:c r="I141" s="64"/>
    </x:row>
    <x:row r="142" ht="20" customHeight="1">
      <x:c r="A142" s="68" t="str">
        <x:f t="shared" si="2"/>
      </x:c>
      <x:c r="B142" s="72"/>
      <x:c r="C142" s="72"/>
      <x:c r="D142" s="72"/>
      <x:c r="E142" s="64"/>
      <x:c r="F142" s="64"/>
      <x:c r="G142" s="64"/>
      <x:c r="H142" s="112"/>
      <x:c r="I142" s="64"/>
    </x:row>
    <x:row r="143" ht="20" customHeight="1">
      <x:c r="A143" s="68" t="str">
        <x:f t="shared" si="2"/>
      </x:c>
      <x:c r="B143" s="72"/>
      <x:c r="C143" s="72"/>
      <x:c r="D143" s="72"/>
      <x:c r="E143" s="64"/>
      <x:c r="F143" s="64"/>
      <x:c r="G143" s="64"/>
      <x:c r="H143" s="112"/>
      <x:c r="I143" s="64"/>
    </x:row>
    <x:row r="144" ht="20" customHeight="1">
      <x:c r="A144" s="68" t="str">
        <x:f t="shared" si="2"/>
      </x:c>
      <x:c r="B144" s="72"/>
      <x:c r="C144" s="72"/>
      <x:c r="D144" s="72"/>
      <x:c r="E144" s="64"/>
      <x:c r="F144" s="64"/>
      <x:c r="G144" s="64"/>
      <x:c r="H144" s="112"/>
      <x:c r="I144" s="64"/>
    </x:row>
    <x:row r="145" ht="20" customHeight="1">
      <x:c r="A145" s="68" t="str">
        <x:f t="shared" si="2"/>
      </x:c>
      <x:c r="B145" s="72"/>
      <x:c r="C145" s="72"/>
      <x:c r="D145" s="72"/>
      <x:c r="E145" s="64"/>
      <x:c r="F145" s="64"/>
      <x:c r="G145" s="64"/>
      <x:c r="H145" s="112"/>
      <x:c r="I145" s="64"/>
    </x:row>
    <x:row r="146" ht="20" customHeight="1">
      <x:c r="A146" s="68" t="str">
        <x:f t="shared" si="2"/>
      </x:c>
      <x:c r="B146" s="72"/>
      <x:c r="C146" s="72"/>
      <x:c r="D146" s="72"/>
      <x:c r="E146" s="64"/>
      <x:c r="F146" s="64"/>
      <x:c r="G146" s="64"/>
      <x:c r="H146" s="112"/>
      <x:c r="I146" s="64"/>
    </x:row>
    <x:row r="147" ht="20" customHeight="1">
      <x:c r="A147" s="68" t="str">
        <x:f t="shared" si="2"/>
      </x:c>
      <x:c r="B147" s="72"/>
      <x:c r="C147" s="72"/>
      <x:c r="D147" s="72"/>
      <x:c r="E147" s="64"/>
      <x:c r="F147" s="64"/>
      <x:c r="G147" s="64"/>
      <x:c r="H147" s="112"/>
      <x:c r="I147" s="64"/>
    </x:row>
    <x:row r="148" ht="20" customHeight="1">
      <x:c r="A148" s="68" t="str">
        <x:f t="shared" si="2"/>
      </x:c>
      <x:c r="B148" s="72"/>
      <x:c r="C148" s="72"/>
      <x:c r="D148" s="72"/>
      <x:c r="E148" s="64"/>
      <x:c r="F148" s="64"/>
      <x:c r="G148" s="64"/>
      <x:c r="H148" s="112"/>
      <x:c r="I148" s="64"/>
    </x:row>
    <x:row r="149" ht="20" customHeight="1">
      <x:c r="A149" s="68" t="str">
        <x:f t="shared" si="2"/>
      </x:c>
      <x:c r="B149" s="72"/>
      <x:c r="C149" s="72"/>
      <x:c r="D149" s="72"/>
      <x:c r="E149" s="64"/>
      <x:c r="F149" s="64"/>
      <x:c r="G149" s="64"/>
      <x:c r="H149" s="112"/>
      <x:c r="I149" s="64"/>
    </x:row>
    <x:row r="150" ht="20" customHeight="1">
      <x:c r="A150" s="68" t="str">
        <x:f t="shared" si="2"/>
      </x:c>
      <x:c r="B150" s="72"/>
      <x:c r="C150" s="72"/>
      <x:c r="D150" s="72"/>
      <x:c r="E150" s="64"/>
      <x:c r="F150" s="64"/>
      <x:c r="G150" s="64"/>
      <x:c r="H150" s="112"/>
      <x:c r="I150" s="64"/>
    </x:row>
    <x:row r="151" ht="20" customHeight="1">
      <x:c r="A151" s="68" t="str">
        <x:f t="shared" si="2"/>
      </x:c>
      <x:c r="B151" s="72"/>
      <x:c r="C151" s="72"/>
      <x:c r="D151" s="72"/>
      <x:c r="E151" s="64"/>
      <x:c r="F151" s="64"/>
      <x:c r="G151" s="64"/>
      <x:c r="H151" s="112"/>
      <x:c r="I151" s="64"/>
    </x:row>
    <x:row r="152" ht="20" customHeight="1">
      <x:c r="A152" s="68" t="str">
        <x:f t="shared" si="2"/>
      </x:c>
      <x:c r="B152" s="72"/>
      <x:c r="C152" s="72"/>
      <x:c r="D152" s="72"/>
      <x:c r="E152" s="64"/>
      <x:c r="F152" s="64"/>
      <x:c r="G152" s="64"/>
      <x:c r="H152" s="112"/>
      <x:c r="I152" s="64"/>
    </x:row>
    <x:row r="153" ht="20" customHeight="1">
      <x:c r="A153" s="68" t="str">
        <x:f t="shared" si="2"/>
      </x:c>
      <x:c r="B153" s="72"/>
      <x:c r="C153" s="72"/>
      <x:c r="D153" s="72"/>
      <x:c r="E153" s="64"/>
      <x:c r="F153" s="64"/>
      <x:c r="G153" s="64"/>
      <x:c r="H153" s="112"/>
      <x:c r="I153" s="64"/>
    </x:row>
    <x:row r="154" ht="20" customHeight="1">
      <x:c r="A154" s="68" t="str">
        <x:f t="shared" si="2"/>
      </x:c>
      <x:c r="B154" s="72"/>
      <x:c r="C154" s="72"/>
      <x:c r="D154" s="72"/>
      <x:c r="E154" s="64"/>
      <x:c r="F154" s="64"/>
      <x:c r="G154" s="64"/>
      <x:c r="H154" s="112"/>
      <x:c r="I154" s="64"/>
    </x:row>
    <x:row r="155" ht="20" customHeight="1">
      <x:c r="A155" s="68" t="str">
        <x:f t="shared" si="2"/>
      </x:c>
      <x:c r="B155" s="72"/>
      <x:c r="C155" s="72"/>
      <x:c r="D155" s="72"/>
      <x:c r="E155" s="64"/>
      <x:c r="F155" s="64"/>
      <x:c r="G155" s="64"/>
      <x:c r="H155" s="112"/>
      <x:c r="I155" s="64"/>
    </x:row>
    <x:row r="156" ht="20" customHeight="1">
      <x:c r="A156" s="68" t="str">
        <x:f t="shared" si="2"/>
      </x:c>
      <x:c r="B156" s="72"/>
      <x:c r="C156" s="72"/>
      <x:c r="D156" s="72"/>
      <x:c r="E156" s="64"/>
      <x:c r="F156" s="64"/>
      <x:c r="G156" s="64"/>
      <x:c r="H156" s="112"/>
      <x:c r="I156" s="64"/>
    </x:row>
    <x:row r="157" ht="20" customHeight="1">
      <x:c r="A157" s="68" t="str">
        <x:f t="shared" si="2"/>
      </x:c>
      <x:c r="B157" s="72"/>
      <x:c r="C157" s="72"/>
      <x:c r="D157" s="72"/>
      <x:c r="E157" s="64"/>
      <x:c r="F157" s="64"/>
      <x:c r="G157" s="64"/>
      <x:c r="H157" s="112"/>
      <x:c r="I157" s="64"/>
    </x:row>
    <x:row r="158" ht="20" customHeight="1">
      <x:c r="A158" s="68" t="str">
        <x:f t="shared" si="2"/>
      </x:c>
      <x:c r="B158" s="72"/>
      <x:c r="C158" s="72"/>
      <x:c r="D158" s="72"/>
      <x:c r="E158" s="64"/>
      <x:c r="F158" s="64"/>
      <x:c r="G158" s="64"/>
      <x:c r="H158" s="112"/>
      <x:c r="I158" s="64"/>
    </x:row>
    <x:row r="159" ht="20" customHeight="1">
      <x:c r="A159" s="68" t="str">
        <x:f t="shared" si="2"/>
      </x:c>
      <x:c r="B159" s="72"/>
      <x:c r="C159" s="72"/>
      <x:c r="D159" s="72"/>
      <x:c r="E159" s="64"/>
      <x:c r="F159" s="64"/>
      <x:c r="G159" s="64"/>
      <x:c r="H159" s="112"/>
      <x:c r="I159" s="64"/>
    </x:row>
    <x:row r="160" ht="20" customHeight="1">
      <x:c r="A160" s="68" t="str">
        <x:f t="shared" si="2"/>
      </x:c>
      <x:c r="B160" s="72"/>
      <x:c r="C160" s="72"/>
      <x:c r="D160" s="72"/>
      <x:c r="E160" s="64"/>
      <x:c r="F160" s="64"/>
      <x:c r="G160" s="64"/>
      <x:c r="H160" s="112"/>
      <x:c r="I160" s="64"/>
    </x:row>
    <x:row r="161" ht="20" customHeight="1">
      <x:c r="A161" s="68" t="str">
        <x:f t="shared" si="2"/>
      </x:c>
      <x:c r="B161" s="72"/>
      <x:c r="C161" s="72"/>
      <x:c r="D161" s="72"/>
      <x:c r="E161" s="64"/>
      <x:c r="F161" s="64"/>
      <x:c r="G161" s="64"/>
      <x:c r="H161" s="112"/>
      <x:c r="I161" s="64"/>
    </x:row>
    <x:row r="162" ht="20" customHeight="1">
      <x:c r="A162" s="68" t="str">
        <x:f t="shared" si="2"/>
      </x:c>
      <x:c r="B162" s="72"/>
      <x:c r="C162" s="72"/>
      <x:c r="D162" s="72"/>
      <x:c r="E162" s="64"/>
      <x:c r="F162" s="64"/>
      <x:c r="G162" s="64"/>
      <x:c r="H162" s="112"/>
      <x:c r="I162" s="64"/>
    </x:row>
    <x:row r="163" ht="20" customHeight="1">
      <x:c r="A163" s="68" t="str">
        <x:f t="shared" si="2"/>
      </x:c>
      <x:c r="B163" s="72"/>
      <x:c r="C163" s="72"/>
      <x:c r="D163" s="72"/>
      <x:c r="E163" s="64"/>
      <x:c r="F163" s="64"/>
      <x:c r="G163" s="64"/>
      <x:c r="H163" s="112"/>
      <x:c r="I163" s="64"/>
    </x:row>
    <x:row r="164" ht="20" customHeight="1">
      <x:c r="A164" s="68" t="str">
        <x:f t="shared" si="2"/>
      </x:c>
      <x:c r="B164" s="72"/>
      <x:c r="C164" s="72"/>
      <x:c r="D164" s="72"/>
      <x:c r="E164" s="64"/>
      <x:c r="F164" s="64"/>
      <x:c r="G164" s="64"/>
      <x:c r="H164" s="112"/>
      <x:c r="I164" s="64"/>
    </x:row>
    <x:row r="165" ht="20" customHeight="1">
      <x:c r="A165" s="68" t="str">
        <x:f t="shared" si="2"/>
      </x:c>
      <x:c r="B165" s="72"/>
      <x:c r="C165" s="72"/>
      <x:c r="D165" s="72"/>
      <x:c r="E165" s="64"/>
      <x:c r="F165" s="64"/>
      <x:c r="G165" s="64"/>
      <x:c r="H165" s="112"/>
      <x:c r="I165" s="64"/>
    </x:row>
    <x:row r="166" ht="20" customHeight="1">
      <x:c r="A166" s="68" t="str">
        <x:f t="shared" si="2"/>
      </x:c>
      <x:c r="B166" s="72"/>
      <x:c r="C166" s="72"/>
      <x:c r="D166" s="72"/>
      <x:c r="E166" s="64"/>
      <x:c r="F166" s="64"/>
      <x:c r="G166" s="64"/>
      <x:c r="H166" s="112"/>
      <x:c r="I166" s="64"/>
    </x:row>
    <x:row r="167" ht="20" customHeight="1">
      <x:c r="A167" s="68" t="str">
        <x:f t="shared" si="2"/>
      </x:c>
      <x:c r="B167" s="72"/>
      <x:c r="C167" s="72"/>
      <x:c r="D167" s="72"/>
      <x:c r="E167" s="64"/>
      <x:c r="F167" s="64"/>
      <x:c r="G167" s="64"/>
      <x:c r="H167" s="112"/>
      <x:c r="I167" s="64"/>
    </x:row>
    <x:row r="168" ht="20" customHeight="1">
      <x:c r="A168" s="68" t="str">
        <x:f t="shared" si="2"/>
      </x:c>
      <x:c r="B168" s="72"/>
      <x:c r="C168" s="72"/>
      <x:c r="D168" s="72"/>
      <x:c r="E168" s="64"/>
      <x:c r="F168" s="64"/>
      <x:c r="G168" s="64"/>
      <x:c r="H168" s="112"/>
      <x:c r="I168" s="64"/>
    </x:row>
    <x:row r="169" ht="20" customHeight="1">
      <x:c r="A169" s="68" t="str">
        <x:f t="shared" si="2"/>
      </x:c>
      <x:c r="B169" s="72"/>
      <x:c r="C169" s="72"/>
      <x:c r="D169" s="72"/>
      <x:c r="E169" s="64"/>
      <x:c r="F169" s="64"/>
      <x:c r="G169" s="64"/>
      <x:c r="H169" s="112"/>
      <x:c r="I169" s="64"/>
    </x:row>
    <x:row r="170" ht="20" customHeight="1">
      <x:c r="A170" s="68" t="str">
        <x:f t="shared" si="2"/>
      </x:c>
      <x:c r="B170" s="72"/>
      <x:c r="C170" s="72"/>
      <x:c r="D170" s="72"/>
      <x:c r="E170" s="64"/>
      <x:c r="F170" s="64"/>
      <x:c r="G170" s="64"/>
      <x:c r="H170" s="112"/>
      <x:c r="I170" s="64"/>
    </x:row>
    <x:row r="171" ht="20" customHeight="1">
      <x:c r="A171" s="68" t="str">
        <x:f t="shared" si="2"/>
      </x:c>
      <x:c r="B171" s="72"/>
      <x:c r="C171" s="72"/>
      <x:c r="D171" s="72"/>
      <x:c r="E171" s="64"/>
      <x:c r="F171" s="64"/>
      <x:c r="G171" s="64"/>
      <x:c r="H171" s="112"/>
      <x:c r="I171" s="64"/>
    </x:row>
    <x:row r="172" ht="20" customHeight="1">
      <x:c r="A172" s="68" t="str">
        <x:f t="shared" si="2"/>
      </x:c>
      <x:c r="B172" s="72"/>
      <x:c r="C172" s="72"/>
      <x:c r="D172" s="72"/>
      <x:c r="E172" s="64"/>
      <x:c r="F172" s="64"/>
      <x:c r="G172" s="64"/>
      <x:c r="H172" s="112"/>
      <x:c r="I172" s="64"/>
    </x:row>
    <x:row r="173" ht="20" customHeight="1">
      <x:c r="A173" s="68" t="str">
        <x:f t="shared" si="2"/>
      </x:c>
      <x:c r="B173" s="72"/>
      <x:c r="C173" s="72"/>
      <x:c r="D173" s="72"/>
      <x:c r="E173" s="64"/>
      <x:c r="F173" s="64"/>
      <x:c r="G173" s="64"/>
      <x:c r="H173" s="112"/>
      <x:c r="I173" s="64"/>
    </x:row>
    <x:row r="174" ht="20" customHeight="1">
      <x:c r="A174" s="68" t="str">
        <x:f t="shared" si="2"/>
      </x:c>
      <x:c r="B174" s="72"/>
      <x:c r="C174" s="72"/>
      <x:c r="D174" s="72"/>
      <x:c r="E174" s="64"/>
      <x:c r="F174" s="64"/>
      <x:c r="G174" s="64"/>
      <x:c r="H174" s="112"/>
      <x:c r="I174" s="64"/>
    </x:row>
    <x:row r="175" ht="20" customHeight="1">
      <x:c r="A175" s="68" t="str">
        <x:f t="shared" si="2"/>
      </x:c>
      <x:c r="B175" s="72"/>
      <x:c r="C175" s="72"/>
      <x:c r="D175" s="72"/>
      <x:c r="E175" s="64"/>
      <x:c r="F175" s="64"/>
      <x:c r="G175" s="64"/>
      <x:c r="H175" s="112"/>
      <x:c r="I175" s="64"/>
    </x:row>
    <x:row r="176" ht="20" customHeight="1">
      <x:c r="A176" s="68" t="str">
        <x:f t="shared" si="2"/>
      </x:c>
      <x:c r="B176" s="72"/>
      <x:c r="C176" s="72"/>
      <x:c r="D176" s="72"/>
      <x:c r="E176" s="64"/>
      <x:c r="F176" s="64"/>
      <x:c r="G176" s="64"/>
      <x:c r="H176" s="112"/>
      <x:c r="I176" s="64"/>
    </x:row>
    <x:row r="177" ht="20" customHeight="1">
      <x:c r="A177" s="68" t="str">
        <x:f t="shared" si="2"/>
      </x:c>
      <x:c r="B177" s="72"/>
      <x:c r="C177" s="72"/>
      <x:c r="D177" s="72"/>
      <x:c r="E177" s="64"/>
      <x:c r="F177" s="64"/>
      <x:c r="G177" s="64"/>
      <x:c r="H177" s="112"/>
      <x:c r="I177" s="64"/>
    </x:row>
    <x:row r="178" ht="20" customHeight="1">
      <x:c r="A178" s="68" t="str">
        <x:f t="shared" si="2"/>
      </x:c>
      <x:c r="B178" s="72"/>
      <x:c r="C178" s="72"/>
      <x:c r="D178" s="72"/>
      <x:c r="E178" s="64"/>
      <x:c r="F178" s="64"/>
      <x:c r="G178" s="64"/>
      <x:c r="H178" s="112"/>
      <x:c r="I178" s="64"/>
    </x:row>
    <x:row r="179" ht="20" customHeight="1">
      <x:c r="A179" s="68" t="str">
        <x:f t="shared" si="2"/>
      </x:c>
      <x:c r="B179" s="72"/>
      <x:c r="C179" s="72"/>
      <x:c r="D179" s="72"/>
      <x:c r="E179" s="64"/>
      <x:c r="F179" s="64"/>
      <x:c r="G179" s="64"/>
      <x:c r="H179" s="112"/>
      <x:c r="I179" s="64"/>
    </x:row>
    <x:row r="180" ht="20" customHeight="1">
      <x:c r="A180" s="68" t="str">
        <x:f t="shared" si="2"/>
      </x:c>
      <x:c r="B180" s="72"/>
      <x:c r="C180" s="72"/>
      <x:c r="D180" s="72"/>
      <x:c r="E180" s="64"/>
      <x:c r="F180" s="64"/>
      <x:c r="G180" s="64"/>
      <x:c r="H180" s="112"/>
      <x:c r="I180" s="64"/>
    </x:row>
    <x:row r="181" ht="20" customHeight="1">
      <x:c r="A181" s="68" t="str">
        <x:f t="shared" si="2"/>
      </x:c>
      <x:c r="B181" s="72"/>
      <x:c r="C181" s="72"/>
      <x:c r="D181" s="72"/>
      <x:c r="E181" s="64"/>
      <x:c r="F181" s="64"/>
      <x:c r="G181" s="64"/>
      <x:c r="H181" s="112"/>
      <x:c r="I181" s="64"/>
    </x:row>
    <x:row r="182" ht="20" customHeight="1">
      <x:c r="A182" s="68" t="str">
        <x:f t="shared" si="2"/>
      </x:c>
      <x:c r="B182" s="72"/>
      <x:c r="C182" s="72"/>
      <x:c r="D182" s="72"/>
      <x:c r="E182" s="64"/>
      <x:c r="F182" s="64"/>
      <x:c r="G182" s="64"/>
      <x:c r="H182" s="112"/>
      <x:c r="I182" s="64"/>
    </x:row>
    <x:row r="183" ht="20" customHeight="1">
      <x:c r="A183" s="68" t="str">
        <x:f t="shared" si="2"/>
      </x:c>
      <x:c r="B183" s="72"/>
      <x:c r="C183" s="72"/>
      <x:c r="D183" s="72"/>
      <x:c r="E183" s="64"/>
      <x:c r="F183" s="64"/>
      <x:c r="G183" s="64"/>
      <x:c r="H183" s="112"/>
      <x:c r="I183" s="64"/>
    </x:row>
    <x:row r="184" ht="20" customHeight="1">
      <x:c r="A184" s="68" t="str">
        <x:f t="shared" si="2"/>
      </x:c>
      <x:c r="B184" s="72"/>
      <x:c r="C184" s="72"/>
      <x:c r="D184" s="72"/>
      <x:c r="E184" s="64"/>
      <x:c r="F184" s="64"/>
      <x:c r="G184" s="64"/>
      <x:c r="H184" s="112"/>
      <x:c r="I184" s="64"/>
    </x:row>
    <x:row r="185" ht="20" customHeight="1">
      <x:c r="A185" s="68" t="str">
        <x:f t="shared" si="2"/>
      </x:c>
      <x:c r="B185" s="72"/>
      <x:c r="C185" s="72"/>
      <x:c r="D185" s="72"/>
      <x:c r="E185" s="64"/>
      <x:c r="F185" s="64"/>
      <x:c r="G185" s="64"/>
      <x:c r="H185" s="112"/>
      <x:c r="I185" s="64"/>
    </x:row>
    <x:row r="186" ht="20" customHeight="1">
      <x:c r="A186" s="68" t="str">
        <x:f t="shared" si="2"/>
      </x:c>
      <x:c r="B186" s="72"/>
      <x:c r="C186" s="72"/>
      <x:c r="D186" s="72"/>
      <x:c r="E186" s="64"/>
      <x:c r="F186" s="64"/>
      <x:c r="G186" s="64"/>
      <x:c r="H186" s="112"/>
      <x:c r="I186" s="64"/>
    </x:row>
    <x:row r="187" ht="20" customHeight="1">
      <x:c r="A187" s="68" t="str">
        <x:f t="shared" si="2"/>
      </x:c>
      <x:c r="B187" s="72"/>
      <x:c r="C187" s="72"/>
      <x:c r="D187" s="72"/>
      <x:c r="E187" s="64"/>
      <x:c r="F187" s="64"/>
      <x:c r="G187" s="64"/>
      <x:c r="H187" s="112"/>
      <x:c r="I187" s="64"/>
    </x:row>
    <x:row r="188" ht="20" customHeight="1">
      <x:c r="A188" s="68" t="str">
        <x:f t="shared" si="2"/>
      </x:c>
      <x:c r="B188" s="72"/>
      <x:c r="C188" s="72"/>
      <x:c r="D188" s="72"/>
      <x:c r="E188" s="64"/>
      <x:c r="F188" s="64"/>
      <x:c r="G188" s="64"/>
      <x:c r="H188" s="112"/>
      <x:c r="I188" s="64"/>
    </x:row>
    <x:row r="189" ht="20" customHeight="1">
      <x:c r="A189" s="68" t="str">
        <x:f t="shared" si="2"/>
      </x:c>
      <x:c r="B189" s="72"/>
      <x:c r="C189" s="72"/>
      <x:c r="D189" s="72"/>
      <x:c r="E189" s="64"/>
      <x:c r="F189" s="64"/>
      <x:c r="G189" s="64"/>
      <x:c r="H189" s="112"/>
      <x:c r="I189" s="64"/>
    </x:row>
    <x:row r="190" ht="20" customHeight="1">
      <x:c r="A190" s="68" t="str">
        <x:f t="shared" si="2"/>
      </x:c>
      <x:c r="B190" s="72"/>
      <x:c r="C190" s="72"/>
      <x:c r="D190" s="72"/>
      <x:c r="E190" s="64"/>
      <x:c r="F190" s="64"/>
      <x:c r="G190" s="64"/>
      <x:c r="H190" s="112"/>
      <x:c r="I190" s="64"/>
    </x:row>
    <x:row r="191" ht="20" customHeight="1">
      <x:c r="A191" s="68" t="str">
        <x:f t="shared" si="2"/>
      </x:c>
      <x:c r="B191" s="72"/>
      <x:c r="C191" s="72"/>
      <x:c r="D191" s="72"/>
      <x:c r="E191" s="64"/>
      <x:c r="F191" s="64"/>
      <x:c r="G191" s="64"/>
      <x:c r="H191" s="112"/>
      <x:c r="I191" s="64"/>
    </x:row>
    <x:row r="192" ht="20" customHeight="1">
      <x:c r="A192" s="68" t="str">
        <x:f t="shared" si="2"/>
      </x:c>
      <x:c r="B192" s="72"/>
      <x:c r="C192" s="72"/>
      <x:c r="D192" s="72"/>
      <x:c r="E192" s="64"/>
      <x:c r="F192" s="64"/>
      <x:c r="G192" s="64"/>
      <x:c r="H192" s="112"/>
      <x:c r="I192" s="64"/>
    </x:row>
    <x:row r="193" ht="20" customHeight="1">
      <x:c r="A193" s="68" t="str">
        <x:f t="shared" si="2"/>
      </x:c>
      <x:c r="B193" s="72"/>
      <x:c r="C193" s="72"/>
      <x:c r="D193" s="72"/>
      <x:c r="E193" s="64"/>
      <x:c r="F193" s="64"/>
      <x:c r="G193" s="64"/>
      <x:c r="H193" s="112"/>
      <x:c r="I193" s="64"/>
    </x:row>
    <x:row r="194" ht="20" customHeight="1">
      <x:c r="A194" s="68" t="str">
        <x:f t="shared" si="2"/>
      </x:c>
      <x:c r="B194" s="72"/>
      <x:c r="C194" s="72"/>
      <x:c r="D194" s="72"/>
      <x:c r="E194" s="64"/>
      <x:c r="F194" s="64"/>
      <x:c r="G194" s="64"/>
      <x:c r="H194" s="112"/>
      <x:c r="I194" s="64"/>
    </x:row>
    <x:row r="195" ht="20" customHeight="1">
      <x:c r="A195" s="68" t="str">
        <x:f t="shared" si="2"/>
      </x:c>
      <x:c r="B195" s="72"/>
      <x:c r="C195" s="72"/>
      <x:c r="D195" s="72"/>
      <x:c r="E195" s="64"/>
      <x:c r="F195" s="64"/>
      <x:c r="G195" s="64"/>
      <x:c r="H195" s="112"/>
      <x:c r="I195" s="64"/>
    </x:row>
    <x:row r="196" ht="20" customHeight="1">
      <x:c r="A196" s="68" t="str">
        <x:f t="shared" ref="A196:A259" si="3">IF(F196="","",ROW()-3)</x:f>
      </x:c>
      <x:c r="B196" s="72"/>
      <x:c r="C196" s="72"/>
      <x:c r="D196" s="72"/>
      <x:c r="E196" s="64"/>
      <x:c r="F196" s="64"/>
      <x:c r="G196" s="64"/>
      <x:c r="H196" s="112"/>
      <x:c r="I196" s="64"/>
    </x:row>
    <x:row r="197" ht="20" customHeight="1">
      <x:c r="A197" s="68" t="str">
        <x:f t="shared" si="3"/>
      </x:c>
      <x:c r="B197" s="72"/>
      <x:c r="C197" s="72"/>
      <x:c r="D197" s="72"/>
      <x:c r="E197" s="64"/>
      <x:c r="F197" s="64"/>
      <x:c r="G197" s="64"/>
      <x:c r="H197" s="112"/>
      <x:c r="I197" s="64"/>
    </x:row>
    <x:row r="198" ht="20" customHeight="1">
      <x:c r="A198" s="68" t="str">
        <x:f t="shared" si="3"/>
      </x:c>
      <x:c r="B198" s="72"/>
      <x:c r="C198" s="72"/>
      <x:c r="D198" s="72"/>
      <x:c r="E198" s="64"/>
      <x:c r="F198" s="64"/>
      <x:c r="G198" s="64"/>
      <x:c r="H198" s="112"/>
      <x:c r="I198" s="64"/>
    </x:row>
    <x:row r="199" ht="20" customHeight="1">
      <x:c r="A199" s="68" t="str">
        <x:f t="shared" si="3"/>
      </x:c>
      <x:c r="B199" s="72"/>
      <x:c r="C199" s="72"/>
      <x:c r="D199" s="72"/>
      <x:c r="E199" s="64"/>
      <x:c r="F199" s="64"/>
      <x:c r="G199" s="64"/>
      <x:c r="H199" s="112"/>
      <x:c r="I199" s="64"/>
    </x:row>
    <x:row r="200" ht="20" customHeight="1">
      <x:c r="A200" s="68" t="str">
        <x:f t="shared" si="3"/>
      </x:c>
      <x:c r="B200" s="72"/>
      <x:c r="C200" s="72"/>
      <x:c r="D200" s="72"/>
      <x:c r="E200" s="64"/>
      <x:c r="F200" s="64"/>
      <x:c r="G200" s="64"/>
      <x:c r="H200" s="112"/>
      <x:c r="I200" s="64"/>
    </x:row>
    <x:row r="201" ht="20" customHeight="1">
      <x:c r="A201" s="68" t="str">
        <x:f t="shared" si="3"/>
      </x:c>
      <x:c r="B201" s="72"/>
      <x:c r="C201" s="72"/>
      <x:c r="D201" s="72"/>
      <x:c r="E201" s="64"/>
      <x:c r="F201" s="64"/>
      <x:c r="G201" s="64"/>
      <x:c r="H201" s="112"/>
      <x:c r="I201" s="64"/>
    </x:row>
    <x:row r="202" ht="20" customHeight="1">
      <x:c r="A202" s="68" t="str">
        <x:f t="shared" si="3"/>
      </x:c>
      <x:c r="B202" s="72"/>
      <x:c r="C202" s="72"/>
      <x:c r="D202" s="72"/>
      <x:c r="E202" s="64"/>
      <x:c r="F202" s="64"/>
      <x:c r="G202" s="64"/>
      <x:c r="H202" s="112"/>
      <x:c r="I202" s="64"/>
    </x:row>
    <x:row r="203" ht="20" customHeight="1">
      <x:c r="A203" s="68" t="str">
        <x:f t="shared" si="3"/>
      </x:c>
      <x:c r="B203" s="72"/>
      <x:c r="C203" s="72"/>
      <x:c r="D203" s="72"/>
      <x:c r="E203" s="64"/>
      <x:c r="F203" s="64"/>
      <x:c r="G203" s="64"/>
      <x:c r="H203" s="112"/>
      <x:c r="I203" s="64"/>
    </x:row>
    <x:row r="204" ht="20" customHeight="1">
      <x:c r="A204" s="68" t="str">
        <x:f t="shared" si="3"/>
      </x:c>
      <x:c r="B204" s="72"/>
      <x:c r="C204" s="72"/>
      <x:c r="D204" s="72"/>
      <x:c r="E204" s="64"/>
      <x:c r="F204" s="64"/>
      <x:c r="G204" s="64"/>
      <x:c r="H204" s="112"/>
      <x:c r="I204" s="64"/>
    </x:row>
    <x:row r="205" ht="20" customHeight="1">
      <x:c r="A205" s="68" t="str">
        <x:f t="shared" si="3"/>
      </x:c>
      <x:c r="B205" s="72"/>
      <x:c r="C205" s="72"/>
      <x:c r="D205" s="72"/>
      <x:c r="E205" s="64"/>
      <x:c r="F205" s="64"/>
      <x:c r="G205" s="64"/>
      <x:c r="H205" s="112"/>
      <x:c r="I205" s="64"/>
    </x:row>
    <x:row r="206" ht="20" customHeight="1">
      <x:c r="A206" s="68" t="str">
        <x:f t="shared" si="3"/>
      </x:c>
      <x:c r="B206" s="72"/>
      <x:c r="C206" s="72"/>
      <x:c r="D206" s="72"/>
      <x:c r="E206" s="64"/>
      <x:c r="F206" s="64"/>
      <x:c r="G206" s="64"/>
      <x:c r="H206" s="112"/>
      <x:c r="I206" s="64"/>
    </x:row>
    <x:row r="207" ht="20" customHeight="1">
      <x:c r="A207" s="68" t="str">
        <x:f t="shared" si="3"/>
      </x:c>
      <x:c r="B207" s="72"/>
      <x:c r="C207" s="72"/>
      <x:c r="D207" s="72"/>
      <x:c r="E207" s="64"/>
      <x:c r="F207" s="64"/>
      <x:c r="G207" s="64"/>
      <x:c r="H207" s="112"/>
      <x:c r="I207" s="64"/>
    </x:row>
    <x:row r="208" ht="20" customHeight="1">
      <x:c r="A208" s="68" t="str">
        <x:f t="shared" si="3"/>
      </x:c>
      <x:c r="B208" s="72"/>
      <x:c r="C208" s="72"/>
      <x:c r="D208" s="72"/>
      <x:c r="E208" s="64"/>
      <x:c r="F208" s="64"/>
      <x:c r="G208" s="64"/>
      <x:c r="H208" s="112"/>
      <x:c r="I208" s="64"/>
    </x:row>
    <x:row r="209" ht="20" customHeight="1">
      <x:c r="A209" s="68" t="str">
        <x:f t="shared" si="3"/>
      </x:c>
      <x:c r="B209" s="72"/>
      <x:c r="C209" s="72"/>
      <x:c r="D209" s="72"/>
      <x:c r="E209" s="64"/>
      <x:c r="F209" s="64"/>
      <x:c r="G209" s="64"/>
      <x:c r="H209" s="112"/>
      <x:c r="I209" s="64"/>
    </x:row>
    <x:row r="210" ht="20" customHeight="1">
      <x:c r="A210" s="68" t="str">
        <x:f t="shared" si="3"/>
      </x:c>
      <x:c r="B210" s="72"/>
      <x:c r="C210" s="72"/>
      <x:c r="D210" s="72"/>
      <x:c r="E210" s="64"/>
      <x:c r="F210" s="64"/>
      <x:c r="G210" s="64"/>
      <x:c r="H210" s="112"/>
      <x:c r="I210" s="64"/>
    </x:row>
    <x:row r="211" ht="20" customHeight="1">
      <x:c r="A211" s="68" t="str">
        <x:f t="shared" si="3"/>
      </x:c>
      <x:c r="B211" s="72"/>
      <x:c r="C211" s="72"/>
      <x:c r="D211" s="72"/>
      <x:c r="E211" s="64"/>
      <x:c r="F211" s="64"/>
      <x:c r="G211" s="64"/>
      <x:c r="H211" s="112"/>
      <x:c r="I211" s="64"/>
    </x:row>
    <x:row r="212" ht="20" customHeight="1">
      <x:c r="A212" s="68" t="str">
        <x:f t="shared" si="3"/>
      </x:c>
      <x:c r="B212" s="72"/>
      <x:c r="C212" s="72"/>
      <x:c r="D212" s="72"/>
      <x:c r="E212" s="64"/>
      <x:c r="F212" s="64"/>
      <x:c r="G212" s="64"/>
      <x:c r="H212" s="112"/>
      <x:c r="I212" s="64"/>
    </x:row>
    <x:row r="213" ht="20" customHeight="1">
      <x:c r="A213" s="68" t="str">
        <x:f t="shared" si="3"/>
      </x:c>
      <x:c r="B213" s="72"/>
      <x:c r="C213" s="72"/>
      <x:c r="D213" s="72"/>
      <x:c r="E213" s="64"/>
      <x:c r="F213" s="64"/>
      <x:c r="G213" s="64"/>
      <x:c r="H213" s="112"/>
      <x:c r="I213" s="64"/>
    </x:row>
    <x:row r="214" ht="20" customHeight="1">
      <x:c r="A214" s="68" t="str">
        <x:f t="shared" si="3"/>
      </x:c>
      <x:c r="B214" s="72"/>
      <x:c r="C214" s="72"/>
      <x:c r="D214" s="72"/>
      <x:c r="E214" s="64"/>
      <x:c r="F214" s="64"/>
      <x:c r="G214" s="64"/>
      <x:c r="H214" s="112"/>
      <x:c r="I214" s="64"/>
    </x:row>
    <x:row r="215" ht="20" customHeight="1">
      <x:c r="A215" s="68" t="str">
        <x:f t="shared" si="3"/>
      </x:c>
      <x:c r="B215" s="72"/>
      <x:c r="C215" s="72"/>
      <x:c r="D215" s="72"/>
      <x:c r="E215" s="64"/>
      <x:c r="F215" s="64"/>
      <x:c r="G215" s="64"/>
      <x:c r="H215" s="112"/>
      <x:c r="I215" s="64"/>
    </x:row>
    <x:row r="216" ht="20" customHeight="1">
      <x:c r="A216" s="68" t="str">
        <x:f t="shared" si="3"/>
      </x:c>
      <x:c r="B216" s="72"/>
      <x:c r="C216" s="72"/>
      <x:c r="D216" s="72"/>
      <x:c r="E216" s="64"/>
      <x:c r="F216" s="64"/>
      <x:c r="G216" s="64"/>
      <x:c r="H216" s="112"/>
      <x:c r="I216" s="64"/>
    </x:row>
    <x:row r="217" ht="20" customHeight="1">
      <x:c r="A217" s="68" t="str">
        <x:f t="shared" si="3"/>
      </x:c>
      <x:c r="B217" s="72"/>
      <x:c r="C217" s="72"/>
      <x:c r="D217" s="72"/>
      <x:c r="E217" s="64"/>
      <x:c r="F217" s="64"/>
      <x:c r="G217" s="64"/>
      <x:c r="H217" s="112"/>
      <x:c r="I217" s="64"/>
    </x:row>
    <x:row r="218" ht="20" customHeight="1">
      <x:c r="A218" s="68" t="str">
        <x:f t="shared" si="3"/>
      </x:c>
      <x:c r="B218" s="72"/>
      <x:c r="C218" s="72"/>
      <x:c r="D218" s="72"/>
      <x:c r="E218" s="64"/>
      <x:c r="F218" s="64"/>
      <x:c r="G218" s="64"/>
      <x:c r="H218" s="112"/>
      <x:c r="I218" s="64"/>
    </x:row>
    <x:row r="219" ht="20" customHeight="1">
      <x:c r="A219" s="68" t="str">
        <x:f t="shared" si="3"/>
      </x:c>
      <x:c r="B219" s="72"/>
      <x:c r="C219" s="72"/>
      <x:c r="D219" s="72"/>
      <x:c r="E219" s="64"/>
      <x:c r="F219" s="64"/>
      <x:c r="G219" s="64"/>
      <x:c r="H219" s="112"/>
      <x:c r="I219" s="64"/>
    </x:row>
    <x:row r="220" ht="20" customHeight="1">
      <x:c r="A220" s="68" t="str">
        <x:f t="shared" si="3"/>
      </x:c>
      <x:c r="B220" s="72"/>
      <x:c r="C220" s="72"/>
      <x:c r="D220" s="72"/>
      <x:c r="E220" s="64"/>
      <x:c r="F220" s="64"/>
      <x:c r="G220" s="64"/>
      <x:c r="H220" s="112"/>
      <x:c r="I220" s="64"/>
    </x:row>
    <x:row r="221" ht="20" customHeight="1">
      <x:c r="A221" s="68" t="str">
        <x:f t="shared" si="3"/>
      </x:c>
      <x:c r="B221" s="72"/>
      <x:c r="C221" s="72"/>
      <x:c r="D221" s="72"/>
      <x:c r="E221" s="64"/>
      <x:c r="F221" s="64"/>
      <x:c r="G221" s="64"/>
      <x:c r="H221" s="112"/>
      <x:c r="I221" s="64"/>
    </x:row>
    <x:row r="222" ht="20" customHeight="1">
      <x:c r="A222" s="68" t="str">
        <x:f t="shared" si="3"/>
      </x:c>
      <x:c r="B222" s="72"/>
      <x:c r="C222" s="72"/>
      <x:c r="D222" s="72"/>
      <x:c r="E222" s="64"/>
      <x:c r="F222" s="64"/>
      <x:c r="G222" s="64"/>
      <x:c r="H222" s="112"/>
      <x:c r="I222" s="64"/>
    </x:row>
    <x:row r="223" ht="20" customHeight="1">
      <x:c r="A223" s="68" t="str">
        <x:f t="shared" si="3"/>
      </x:c>
      <x:c r="B223" s="72"/>
      <x:c r="C223" s="72"/>
      <x:c r="D223" s="72"/>
      <x:c r="E223" s="64"/>
      <x:c r="F223" s="64"/>
      <x:c r="G223" s="64"/>
      <x:c r="H223" s="112"/>
      <x:c r="I223" s="64"/>
    </x:row>
    <x:row r="224" ht="20" customHeight="1">
      <x:c r="A224" s="68" t="str">
        <x:f t="shared" si="3"/>
      </x:c>
      <x:c r="B224" s="72"/>
      <x:c r="C224" s="72"/>
      <x:c r="D224" s="72"/>
      <x:c r="E224" s="64"/>
      <x:c r="F224" s="64"/>
      <x:c r="G224" s="64"/>
      <x:c r="H224" s="112"/>
      <x:c r="I224" s="64"/>
    </x:row>
    <x:row r="225" ht="20" customHeight="1">
      <x:c r="A225" s="68" t="str">
        <x:f t="shared" si="3"/>
      </x:c>
      <x:c r="B225" s="72"/>
      <x:c r="C225" s="72"/>
      <x:c r="D225" s="72"/>
      <x:c r="E225" s="64"/>
      <x:c r="F225" s="64"/>
      <x:c r="G225" s="64"/>
      <x:c r="H225" s="112"/>
      <x:c r="I225" s="64"/>
    </x:row>
    <x:row r="226" ht="20" customHeight="1">
      <x:c r="A226" s="68" t="str">
        <x:f t="shared" si="3"/>
      </x:c>
      <x:c r="B226" s="72"/>
      <x:c r="C226" s="72"/>
      <x:c r="D226" s="72"/>
      <x:c r="E226" s="64"/>
      <x:c r="F226" s="64"/>
      <x:c r="G226" s="64"/>
      <x:c r="H226" s="112"/>
      <x:c r="I226" s="64"/>
    </x:row>
    <x:row r="227" ht="20" customHeight="1">
      <x:c r="A227" s="68" t="str">
        <x:f t="shared" si="3"/>
      </x:c>
      <x:c r="B227" s="72"/>
      <x:c r="C227" s="72"/>
      <x:c r="D227" s="72"/>
      <x:c r="E227" s="64"/>
      <x:c r="F227" s="64"/>
      <x:c r="G227" s="64"/>
      <x:c r="H227" s="112"/>
      <x:c r="I227" s="64"/>
    </x:row>
    <x:row r="228" ht="20" customHeight="1">
      <x:c r="A228" s="68" t="str">
        <x:f t="shared" si="3"/>
      </x:c>
      <x:c r="B228" s="72"/>
      <x:c r="C228" s="72"/>
      <x:c r="D228" s="72"/>
      <x:c r="E228" s="64"/>
      <x:c r="F228" s="64"/>
      <x:c r="G228" s="64"/>
      <x:c r="H228" s="112"/>
      <x:c r="I228" s="64"/>
    </x:row>
    <x:row r="229" ht="20" customHeight="1">
      <x:c r="A229" s="68" t="str">
        <x:f t="shared" si="3"/>
      </x:c>
      <x:c r="B229" s="72"/>
      <x:c r="C229" s="72"/>
      <x:c r="D229" s="72"/>
      <x:c r="E229" s="64"/>
      <x:c r="F229" s="64"/>
      <x:c r="G229" s="64"/>
      <x:c r="H229" s="112"/>
      <x:c r="I229" s="64"/>
    </x:row>
    <x:row r="230" ht="20" customHeight="1">
      <x:c r="A230" s="68" t="str">
        <x:f t="shared" si="3"/>
      </x:c>
      <x:c r="B230" s="72"/>
      <x:c r="C230" s="72"/>
      <x:c r="D230" s="72"/>
      <x:c r="E230" s="64"/>
      <x:c r="F230" s="64"/>
      <x:c r="G230" s="64"/>
      <x:c r="H230" s="112"/>
      <x:c r="I230" s="64"/>
    </x:row>
    <x:row r="231" ht="20" customHeight="1">
      <x:c r="A231" s="68" t="str">
        <x:f t="shared" si="3"/>
      </x:c>
      <x:c r="B231" s="72"/>
      <x:c r="C231" s="72"/>
      <x:c r="D231" s="72"/>
      <x:c r="E231" s="64"/>
      <x:c r="F231" s="64"/>
      <x:c r="G231" s="64"/>
      <x:c r="H231" s="112"/>
      <x:c r="I231" s="64"/>
    </x:row>
    <x:row r="232" ht="20" customHeight="1">
      <x:c r="A232" s="68" t="str">
        <x:f t="shared" si="3"/>
      </x:c>
      <x:c r="B232" s="72"/>
      <x:c r="C232" s="72"/>
      <x:c r="D232" s="72"/>
      <x:c r="E232" s="64"/>
      <x:c r="F232" s="64"/>
      <x:c r="G232" s="64"/>
      <x:c r="H232" s="112"/>
      <x:c r="I232" s="64"/>
    </x:row>
    <x:row r="233" ht="20" customHeight="1">
      <x:c r="A233" s="68" t="str">
        <x:f t="shared" si="3"/>
      </x:c>
      <x:c r="B233" s="72"/>
      <x:c r="C233" s="72"/>
      <x:c r="D233" s="72"/>
      <x:c r="E233" s="64"/>
      <x:c r="F233" s="64"/>
      <x:c r="G233" s="64"/>
      <x:c r="H233" s="112"/>
      <x:c r="I233" s="64"/>
    </x:row>
    <x:row r="234" ht="20" customHeight="1">
      <x:c r="A234" s="68" t="str">
        <x:f t="shared" si="3"/>
      </x:c>
      <x:c r="B234" s="72"/>
      <x:c r="C234" s="72"/>
      <x:c r="D234" s="72"/>
      <x:c r="E234" s="64"/>
      <x:c r="F234" s="64"/>
      <x:c r="G234" s="64"/>
      <x:c r="H234" s="112"/>
      <x:c r="I234" s="64"/>
    </x:row>
    <x:row r="235" ht="20" customHeight="1">
      <x:c r="A235" s="68" t="str">
        <x:f t="shared" si="3"/>
      </x:c>
      <x:c r="B235" s="72"/>
      <x:c r="C235" s="72"/>
      <x:c r="D235" s="72"/>
      <x:c r="E235" s="64"/>
      <x:c r="F235" s="64"/>
      <x:c r="G235" s="64"/>
      <x:c r="H235" s="112"/>
      <x:c r="I235" s="64"/>
    </x:row>
    <x:row r="236" ht="20" customHeight="1">
      <x:c r="A236" s="68" t="str">
        <x:f t="shared" si="3"/>
      </x:c>
      <x:c r="B236" s="72"/>
      <x:c r="C236" s="72"/>
      <x:c r="D236" s="72"/>
      <x:c r="E236" s="64"/>
      <x:c r="F236" s="64"/>
      <x:c r="G236" s="64"/>
      <x:c r="H236" s="112"/>
      <x:c r="I236" s="64"/>
    </x:row>
    <x:row r="237" ht="20" customHeight="1">
      <x:c r="A237" s="68" t="str">
        <x:f t="shared" si="3"/>
      </x:c>
      <x:c r="B237" s="72"/>
      <x:c r="C237" s="72"/>
      <x:c r="D237" s="72"/>
      <x:c r="E237" s="64"/>
      <x:c r="F237" s="64"/>
      <x:c r="G237" s="64"/>
      <x:c r="H237" s="112"/>
      <x:c r="I237" s="64"/>
    </x:row>
    <x:row r="238" ht="20" customHeight="1">
      <x:c r="A238" s="68" t="str">
        <x:f t="shared" si="3"/>
      </x:c>
      <x:c r="B238" s="72"/>
      <x:c r="C238" s="72"/>
      <x:c r="D238" s="72"/>
      <x:c r="E238" s="64"/>
      <x:c r="F238" s="64"/>
      <x:c r="G238" s="64"/>
      <x:c r="H238" s="112"/>
      <x:c r="I238" s="64"/>
    </x:row>
    <x:row r="239" ht="20" customHeight="1">
      <x:c r="A239" s="68" t="str">
        <x:f t="shared" si="3"/>
      </x:c>
      <x:c r="B239" s="72"/>
      <x:c r="C239" s="72"/>
      <x:c r="D239" s="72"/>
      <x:c r="E239" s="64"/>
      <x:c r="F239" s="64"/>
      <x:c r="G239" s="64"/>
      <x:c r="H239" s="112"/>
      <x:c r="I239" s="64"/>
    </x:row>
    <x:row r="240" ht="20" customHeight="1">
      <x:c r="A240" s="68" t="str">
        <x:f t="shared" si="3"/>
      </x:c>
      <x:c r="B240" s="72"/>
      <x:c r="C240" s="72"/>
      <x:c r="D240" s="72"/>
      <x:c r="E240" s="64"/>
      <x:c r="F240" s="64"/>
      <x:c r="G240" s="64"/>
      <x:c r="H240" s="112"/>
      <x:c r="I240" s="64"/>
    </x:row>
    <x:row r="241" ht="20" customHeight="1">
      <x:c r="A241" s="68" t="str">
        <x:f t="shared" si="3"/>
      </x:c>
      <x:c r="B241" s="72"/>
      <x:c r="C241" s="72"/>
      <x:c r="D241" s="72"/>
      <x:c r="E241" s="64"/>
      <x:c r="F241" s="64"/>
      <x:c r="G241" s="64"/>
      <x:c r="H241" s="112"/>
      <x:c r="I241" s="64"/>
    </x:row>
    <x:row r="242" ht="20" customHeight="1">
      <x:c r="A242" s="68" t="str">
        <x:f t="shared" si="3"/>
      </x:c>
      <x:c r="B242" s="72"/>
      <x:c r="C242" s="72"/>
      <x:c r="D242" s="72"/>
      <x:c r="E242" s="64"/>
      <x:c r="F242" s="64"/>
      <x:c r="G242" s="64"/>
      <x:c r="H242" s="112"/>
      <x:c r="I242" s="64"/>
    </x:row>
    <x:row r="243" ht="20" customHeight="1">
      <x:c r="A243" s="68" t="str">
        <x:f t="shared" si="3"/>
      </x:c>
      <x:c r="B243" s="72"/>
      <x:c r="C243" s="72"/>
      <x:c r="D243" s="72"/>
      <x:c r="E243" s="64"/>
      <x:c r="F243" s="64"/>
      <x:c r="G243" s="64"/>
      <x:c r="H243" s="112"/>
      <x:c r="I243" s="64"/>
    </x:row>
    <x:row r="244" ht="20" customHeight="1">
      <x:c r="A244" s="68" t="str">
        <x:f t="shared" si="3"/>
      </x:c>
      <x:c r="B244" s="72"/>
      <x:c r="C244" s="72"/>
      <x:c r="D244" s="72"/>
      <x:c r="E244" s="64"/>
      <x:c r="F244" s="64"/>
      <x:c r="G244" s="64"/>
      <x:c r="H244" s="112"/>
      <x:c r="I244" s="64"/>
    </x:row>
    <x:row r="245" ht="20" customHeight="1">
      <x:c r="A245" s="68" t="str">
        <x:f t="shared" si="3"/>
      </x:c>
      <x:c r="B245" s="72"/>
      <x:c r="C245" s="72"/>
      <x:c r="D245" s="72"/>
      <x:c r="E245" s="64"/>
      <x:c r="F245" s="64"/>
      <x:c r="G245" s="64"/>
      <x:c r="H245" s="112"/>
      <x:c r="I245" s="64"/>
    </x:row>
    <x:row r="246" ht="20" customHeight="1">
      <x:c r="A246" s="68" t="str">
        <x:f t="shared" si="3"/>
      </x:c>
      <x:c r="B246" s="72"/>
      <x:c r="C246" s="72"/>
      <x:c r="D246" s="72"/>
      <x:c r="E246" s="64"/>
      <x:c r="F246" s="64"/>
      <x:c r="G246" s="64"/>
      <x:c r="H246" s="112"/>
      <x:c r="I246" s="64"/>
    </x:row>
    <x:row r="247" ht="20" customHeight="1">
      <x:c r="A247" s="68" t="str">
        <x:f t="shared" si="3"/>
      </x:c>
      <x:c r="B247" s="72"/>
      <x:c r="C247" s="72"/>
      <x:c r="D247" s="72"/>
      <x:c r="E247" s="64"/>
      <x:c r="F247" s="64"/>
      <x:c r="G247" s="64"/>
      <x:c r="H247" s="112"/>
      <x:c r="I247" s="64"/>
    </x:row>
    <x:row r="248" ht="20" customHeight="1">
      <x:c r="A248" s="68" t="str">
        <x:f t="shared" si="3"/>
      </x:c>
      <x:c r="B248" s="72"/>
      <x:c r="C248" s="72"/>
      <x:c r="D248" s="72"/>
      <x:c r="E248" s="64"/>
      <x:c r="F248" s="64"/>
      <x:c r="G248" s="64"/>
      <x:c r="H248" s="112"/>
      <x:c r="I248" s="64"/>
    </x:row>
    <x:row r="249" ht="20" customHeight="1">
      <x:c r="A249" s="68" t="str">
        <x:f t="shared" si="3"/>
      </x:c>
      <x:c r="B249" s="72"/>
      <x:c r="C249" s="72"/>
      <x:c r="D249" s="72"/>
      <x:c r="E249" s="64"/>
      <x:c r="F249" s="64"/>
      <x:c r="G249" s="64"/>
      <x:c r="H249" s="112"/>
      <x:c r="I249" s="64"/>
    </x:row>
    <x:row r="250" ht="20" customHeight="1">
      <x:c r="A250" s="68" t="str">
        <x:f t="shared" si="3"/>
      </x:c>
      <x:c r="B250" s="72"/>
      <x:c r="C250" s="72"/>
      <x:c r="D250" s="72"/>
      <x:c r="E250" s="64"/>
      <x:c r="F250" s="64"/>
      <x:c r="G250" s="64"/>
      <x:c r="H250" s="112"/>
      <x:c r="I250" s="64"/>
    </x:row>
    <x:row r="251" ht="20" customHeight="1">
      <x:c r="A251" s="68" t="str">
        <x:f t="shared" si="3"/>
      </x:c>
      <x:c r="B251" s="72"/>
      <x:c r="C251" s="72"/>
      <x:c r="D251" s="72"/>
      <x:c r="E251" s="64"/>
      <x:c r="F251" s="64"/>
      <x:c r="G251" s="64"/>
      <x:c r="H251" s="112"/>
      <x:c r="I251" s="64"/>
    </x:row>
    <x:row r="252" ht="20" customHeight="1">
      <x:c r="A252" s="68" t="str">
        <x:f t="shared" si="3"/>
      </x:c>
      <x:c r="B252" s="72"/>
      <x:c r="C252" s="72"/>
      <x:c r="D252" s="72"/>
      <x:c r="E252" s="64"/>
      <x:c r="F252" s="64"/>
      <x:c r="G252" s="64"/>
      <x:c r="H252" s="112"/>
      <x:c r="I252" s="64"/>
    </x:row>
    <x:row r="253" ht="20" customHeight="1">
      <x:c r="A253" s="68" t="str">
        <x:f t="shared" si="3"/>
      </x:c>
      <x:c r="B253" s="72"/>
      <x:c r="C253" s="72"/>
      <x:c r="D253" s="72"/>
      <x:c r="E253" s="64"/>
      <x:c r="F253" s="64"/>
      <x:c r="G253" s="64"/>
      <x:c r="H253" s="112"/>
      <x:c r="I253" s="64"/>
    </x:row>
    <x:row r="254" ht="20" customHeight="1">
      <x:c r="A254" s="68" t="str">
        <x:f t="shared" si="3"/>
      </x:c>
      <x:c r="B254" s="72"/>
      <x:c r="C254" s="72"/>
      <x:c r="D254" s="72"/>
      <x:c r="E254" s="64"/>
      <x:c r="F254" s="64"/>
      <x:c r="G254" s="64"/>
      <x:c r="H254" s="112"/>
      <x:c r="I254" s="64"/>
    </x:row>
    <x:row r="255" ht="20" customHeight="1">
      <x:c r="A255" s="68" t="str">
        <x:f t="shared" si="3"/>
      </x:c>
      <x:c r="B255" s="72"/>
      <x:c r="C255" s="72"/>
      <x:c r="D255" s="72"/>
      <x:c r="E255" s="64"/>
      <x:c r="F255" s="64"/>
      <x:c r="G255" s="64"/>
      <x:c r="H255" s="112"/>
      <x:c r="I255" s="64"/>
    </x:row>
    <x:row r="256" ht="20" customHeight="1">
      <x:c r="A256" s="68" t="str">
        <x:f t="shared" si="3"/>
      </x:c>
      <x:c r="B256" s="72"/>
      <x:c r="C256" s="72"/>
      <x:c r="D256" s="72"/>
      <x:c r="E256" s="64"/>
      <x:c r="F256" s="64"/>
      <x:c r="G256" s="64"/>
      <x:c r="H256" s="112"/>
      <x:c r="I256" s="64"/>
    </x:row>
    <x:row r="257" ht="20" customHeight="1">
      <x:c r="A257" s="68" t="str">
        <x:f t="shared" si="3"/>
      </x:c>
      <x:c r="B257" s="72"/>
      <x:c r="C257" s="72"/>
      <x:c r="D257" s="72"/>
      <x:c r="E257" s="64"/>
      <x:c r="F257" s="64"/>
      <x:c r="G257" s="64"/>
      <x:c r="H257" s="112"/>
      <x:c r="I257" s="64"/>
    </x:row>
    <x:row r="258" ht="20" customHeight="1">
      <x:c r="A258" s="68" t="str">
        <x:f t="shared" si="3"/>
      </x:c>
      <x:c r="B258" s="72"/>
      <x:c r="C258" s="72"/>
      <x:c r="D258" s="72"/>
      <x:c r="E258" s="64"/>
      <x:c r="F258" s="64"/>
      <x:c r="G258" s="64"/>
      <x:c r="H258" s="112"/>
      <x:c r="I258" s="64"/>
    </x:row>
    <x:row r="259" ht="20" customHeight="1">
      <x:c r="A259" s="68" t="str">
        <x:f t="shared" si="3"/>
      </x:c>
      <x:c r="B259" s="72"/>
      <x:c r="C259" s="72"/>
      <x:c r="D259" s="72"/>
      <x:c r="E259" s="64"/>
      <x:c r="F259" s="64"/>
      <x:c r="G259" s="64"/>
      <x:c r="H259" s="112"/>
      <x:c r="I259" s="64"/>
    </x:row>
    <x:row r="260" ht="20" customHeight="1">
      <x:c r="A260" s="68" t="str">
        <x:f t="shared" ref="A260:A323" si="4">IF(F260="","",ROW()-3)</x:f>
      </x:c>
      <x:c r="B260" s="72"/>
      <x:c r="C260" s="72"/>
      <x:c r="D260" s="72"/>
      <x:c r="E260" s="64"/>
      <x:c r="F260" s="64"/>
      <x:c r="G260" s="64"/>
      <x:c r="H260" s="112"/>
      <x:c r="I260" s="64"/>
    </x:row>
    <x:row r="261" ht="20" customHeight="1">
      <x:c r="A261" s="68" t="str">
        <x:f t="shared" si="4"/>
      </x:c>
      <x:c r="B261" s="72"/>
      <x:c r="C261" s="72"/>
      <x:c r="D261" s="72"/>
      <x:c r="E261" s="64"/>
      <x:c r="F261" s="64"/>
      <x:c r="G261" s="64"/>
      <x:c r="H261" s="112"/>
      <x:c r="I261" s="64"/>
    </x:row>
    <x:row r="262" ht="20" customHeight="1">
      <x:c r="A262" s="68" t="str">
        <x:f t="shared" si="4"/>
      </x:c>
      <x:c r="B262" s="72"/>
      <x:c r="C262" s="72"/>
      <x:c r="D262" s="72"/>
      <x:c r="E262" s="64"/>
      <x:c r="F262" s="64"/>
      <x:c r="G262" s="64"/>
      <x:c r="H262" s="112"/>
      <x:c r="I262" s="64"/>
    </x:row>
    <x:row r="263" ht="20" customHeight="1">
      <x:c r="A263" s="68" t="str">
        <x:f t="shared" si="4"/>
      </x:c>
      <x:c r="B263" s="72"/>
      <x:c r="C263" s="72"/>
      <x:c r="D263" s="72"/>
      <x:c r="E263" s="64"/>
      <x:c r="F263" s="64"/>
      <x:c r="G263" s="64"/>
      <x:c r="H263" s="112"/>
      <x:c r="I263" s="64"/>
    </x:row>
    <x:row r="264" ht="20" customHeight="1">
      <x:c r="A264" s="68" t="str">
        <x:f t="shared" si="4"/>
      </x:c>
      <x:c r="B264" s="72"/>
      <x:c r="C264" s="72"/>
      <x:c r="D264" s="72"/>
      <x:c r="E264" s="64"/>
      <x:c r="F264" s="64"/>
      <x:c r="G264" s="64"/>
      <x:c r="H264" s="112"/>
      <x:c r="I264" s="64"/>
    </x:row>
    <x:row r="265" ht="20" customHeight="1">
      <x:c r="A265" s="68" t="str">
        <x:f t="shared" si="4"/>
      </x:c>
      <x:c r="B265" s="72"/>
      <x:c r="C265" s="72"/>
      <x:c r="D265" s="72"/>
      <x:c r="E265" s="64"/>
      <x:c r="F265" s="64"/>
      <x:c r="G265" s="64"/>
      <x:c r="H265" s="112"/>
      <x:c r="I265" s="64"/>
    </x:row>
    <x:row r="266" ht="20" customHeight="1">
      <x:c r="A266" s="68" t="str">
        <x:f t="shared" si="4"/>
      </x:c>
      <x:c r="B266" s="72"/>
      <x:c r="C266" s="72"/>
      <x:c r="D266" s="72"/>
      <x:c r="E266" s="64"/>
      <x:c r="F266" s="64"/>
      <x:c r="G266" s="64"/>
      <x:c r="H266" s="112"/>
      <x:c r="I266" s="64"/>
    </x:row>
    <x:row r="267" ht="20" customHeight="1">
      <x:c r="A267" s="68" t="str">
        <x:f t="shared" si="4"/>
      </x:c>
      <x:c r="B267" s="72"/>
      <x:c r="C267" s="72"/>
      <x:c r="D267" s="72"/>
      <x:c r="E267" s="64"/>
      <x:c r="F267" s="64"/>
      <x:c r="G267" s="64"/>
      <x:c r="H267" s="112"/>
      <x:c r="I267" s="64"/>
    </x:row>
    <x:row r="268" ht="20" customHeight="1">
      <x:c r="A268" s="68" t="str">
        <x:f t="shared" si="4"/>
      </x:c>
      <x:c r="B268" s="72"/>
      <x:c r="C268" s="72"/>
      <x:c r="D268" s="72"/>
      <x:c r="E268" s="64"/>
      <x:c r="F268" s="64"/>
      <x:c r="G268" s="64"/>
      <x:c r="H268" s="112"/>
      <x:c r="I268" s="64"/>
    </x:row>
    <x:row r="269" ht="20" customHeight="1">
      <x:c r="A269" s="68" t="str">
        <x:f t="shared" si="4"/>
      </x:c>
      <x:c r="B269" s="72"/>
      <x:c r="C269" s="72"/>
      <x:c r="D269" s="72"/>
      <x:c r="E269" s="64"/>
      <x:c r="F269" s="64"/>
      <x:c r="G269" s="64"/>
      <x:c r="H269" s="112"/>
      <x:c r="I269" s="64"/>
    </x:row>
    <x:row r="270" ht="20" customHeight="1">
      <x:c r="A270" s="68" t="str">
        <x:f t="shared" si="4"/>
      </x:c>
      <x:c r="B270" s="72"/>
      <x:c r="C270" s="72"/>
      <x:c r="D270" s="72"/>
      <x:c r="E270" s="64"/>
      <x:c r="F270" s="64"/>
      <x:c r="G270" s="64"/>
      <x:c r="H270" s="112"/>
      <x:c r="I270" s="64"/>
    </x:row>
    <x:row r="271" ht="20" customHeight="1">
      <x:c r="A271" s="68" t="str">
        <x:f t="shared" si="4"/>
      </x:c>
      <x:c r="B271" s="72"/>
      <x:c r="C271" s="72"/>
      <x:c r="D271" s="72"/>
      <x:c r="E271" s="64"/>
      <x:c r="F271" s="64"/>
      <x:c r="G271" s="64"/>
      <x:c r="H271" s="112"/>
      <x:c r="I271" s="64"/>
    </x:row>
    <x:row r="272" ht="20" customHeight="1">
      <x:c r="A272" s="68" t="str">
        <x:f t="shared" si="4"/>
      </x:c>
      <x:c r="B272" s="72"/>
      <x:c r="C272" s="72"/>
      <x:c r="D272" s="72"/>
      <x:c r="E272" s="64"/>
      <x:c r="F272" s="64"/>
      <x:c r="G272" s="64"/>
      <x:c r="H272" s="112"/>
      <x:c r="I272" s="64"/>
    </x:row>
    <x:row r="273" ht="20" customHeight="1">
      <x:c r="A273" s="68" t="str">
        <x:f t="shared" si="4"/>
      </x:c>
      <x:c r="B273" s="72"/>
      <x:c r="C273" s="72"/>
      <x:c r="D273" s="72"/>
      <x:c r="E273" s="64"/>
      <x:c r="F273" s="64"/>
      <x:c r="G273" s="64"/>
      <x:c r="H273" s="112"/>
      <x:c r="I273" s="64"/>
    </x:row>
    <x:row r="274" ht="20" customHeight="1">
      <x:c r="A274" s="68" t="str">
        <x:f t="shared" si="4"/>
      </x:c>
      <x:c r="B274" s="72"/>
      <x:c r="C274" s="72"/>
      <x:c r="D274" s="72"/>
      <x:c r="E274" s="64"/>
      <x:c r="F274" s="64"/>
      <x:c r="G274" s="64"/>
      <x:c r="H274" s="112"/>
      <x:c r="I274" s="64"/>
    </x:row>
    <x:row r="275" ht="20" customHeight="1">
      <x:c r="A275" s="68" t="str">
        <x:f t="shared" si="4"/>
      </x:c>
      <x:c r="B275" s="72"/>
      <x:c r="C275" s="72"/>
      <x:c r="D275" s="72"/>
      <x:c r="E275" s="64"/>
      <x:c r="F275" s="64"/>
      <x:c r="G275" s="64"/>
      <x:c r="H275" s="112"/>
      <x:c r="I275" s="64"/>
    </x:row>
    <x:row r="276" ht="20" customHeight="1">
      <x:c r="A276" s="68" t="str">
        <x:f t="shared" si="4"/>
      </x:c>
      <x:c r="B276" s="72"/>
      <x:c r="C276" s="72"/>
      <x:c r="D276" s="72"/>
      <x:c r="E276" s="64"/>
      <x:c r="F276" s="64"/>
      <x:c r="G276" s="64"/>
      <x:c r="H276" s="112"/>
      <x:c r="I276" s="64"/>
    </x:row>
    <x:row r="277" ht="20" customHeight="1">
      <x:c r="A277" s="68" t="str">
        <x:f t="shared" si="4"/>
      </x:c>
      <x:c r="B277" s="72"/>
      <x:c r="C277" s="72"/>
      <x:c r="D277" s="72"/>
      <x:c r="E277" s="64"/>
      <x:c r="F277" s="64"/>
      <x:c r="G277" s="64"/>
      <x:c r="H277" s="112"/>
      <x:c r="I277" s="64"/>
    </x:row>
    <x:row r="278" ht="20" customHeight="1">
      <x:c r="A278" s="68" t="str">
        <x:f t="shared" si="4"/>
      </x:c>
      <x:c r="B278" s="72"/>
      <x:c r="C278" s="72"/>
      <x:c r="D278" s="72"/>
      <x:c r="E278" s="64"/>
      <x:c r="F278" s="64"/>
      <x:c r="G278" s="64"/>
      <x:c r="H278" s="112"/>
      <x:c r="I278" s="64"/>
    </x:row>
    <x:row r="279" ht="20" customHeight="1">
      <x:c r="A279" s="68" t="str">
        <x:f t="shared" si="4"/>
      </x:c>
      <x:c r="B279" s="72"/>
      <x:c r="C279" s="72"/>
      <x:c r="D279" s="72"/>
      <x:c r="E279" s="64"/>
      <x:c r="F279" s="64"/>
      <x:c r="G279" s="64"/>
      <x:c r="H279" s="112"/>
      <x:c r="I279" s="64"/>
    </x:row>
    <x:row r="280" ht="20" customHeight="1">
      <x:c r="A280" s="68" t="str">
        <x:f t="shared" si="4"/>
      </x:c>
      <x:c r="B280" s="72"/>
      <x:c r="C280" s="72"/>
      <x:c r="D280" s="72"/>
      <x:c r="E280" s="64"/>
      <x:c r="F280" s="64"/>
      <x:c r="G280" s="64"/>
      <x:c r="H280" s="112"/>
      <x:c r="I280" s="64"/>
    </x:row>
    <x:row r="281" ht="20" customHeight="1">
      <x:c r="A281" s="68" t="str">
        <x:f t="shared" si="4"/>
      </x:c>
      <x:c r="B281" s="72"/>
      <x:c r="C281" s="72"/>
      <x:c r="D281" s="72"/>
      <x:c r="E281" s="64"/>
      <x:c r="F281" s="64"/>
      <x:c r="G281" s="64"/>
      <x:c r="H281" s="112"/>
      <x:c r="I281" s="64"/>
    </x:row>
    <x:row r="282" ht="20" customHeight="1">
      <x:c r="A282" s="68" t="str">
        <x:f t="shared" si="4"/>
      </x:c>
      <x:c r="B282" s="72"/>
      <x:c r="C282" s="72"/>
      <x:c r="D282" s="72"/>
      <x:c r="E282" s="64"/>
      <x:c r="F282" s="64"/>
      <x:c r="G282" s="64"/>
      <x:c r="H282" s="112"/>
      <x:c r="I282" s="64"/>
    </x:row>
    <x:row r="283" ht="20" customHeight="1">
      <x:c r="A283" s="68" t="str">
        <x:f t="shared" si="4"/>
      </x:c>
      <x:c r="B283" s="72"/>
      <x:c r="C283" s="72"/>
      <x:c r="D283" s="72"/>
      <x:c r="E283" s="64"/>
      <x:c r="F283" s="64"/>
      <x:c r="G283" s="64"/>
      <x:c r="H283" s="112"/>
      <x:c r="I283" s="64"/>
    </x:row>
    <x:row r="284" ht="20" customHeight="1">
      <x:c r="A284" s="68" t="str">
        <x:f t="shared" si="4"/>
      </x:c>
      <x:c r="B284" s="72"/>
      <x:c r="C284" s="72"/>
      <x:c r="D284" s="72"/>
      <x:c r="E284" s="64"/>
      <x:c r="F284" s="64"/>
      <x:c r="G284" s="64"/>
      <x:c r="H284" s="112"/>
      <x:c r="I284" s="64"/>
    </x:row>
    <x:row r="285" ht="20" customHeight="1">
      <x:c r="A285" s="68" t="str">
        <x:f t="shared" si="4"/>
      </x:c>
      <x:c r="B285" s="72"/>
      <x:c r="C285" s="72"/>
      <x:c r="D285" s="72"/>
      <x:c r="E285" s="64"/>
      <x:c r="F285" s="64"/>
      <x:c r="G285" s="64"/>
      <x:c r="H285" s="112"/>
      <x:c r="I285" s="64"/>
    </x:row>
    <x:row r="286" ht="20" customHeight="1">
      <x:c r="A286" s="68" t="str">
        <x:f t="shared" si="4"/>
      </x:c>
      <x:c r="B286" s="72"/>
      <x:c r="C286" s="72"/>
      <x:c r="D286" s="72"/>
      <x:c r="E286" s="64"/>
      <x:c r="F286" s="64"/>
      <x:c r="G286" s="64"/>
      <x:c r="H286" s="112"/>
      <x:c r="I286" s="64"/>
    </x:row>
    <x:row r="287" ht="20" customHeight="1">
      <x:c r="A287" s="68" t="str">
        <x:f t="shared" si="4"/>
      </x:c>
      <x:c r="B287" s="72"/>
      <x:c r="C287" s="72"/>
      <x:c r="D287" s="72"/>
      <x:c r="E287" s="64"/>
      <x:c r="F287" s="64"/>
      <x:c r="G287" s="64"/>
      <x:c r="H287" s="112"/>
      <x:c r="I287" s="64"/>
    </x:row>
    <x:row r="288" ht="20" customHeight="1">
      <x:c r="A288" s="68" t="str">
        <x:f t="shared" si="4"/>
      </x:c>
      <x:c r="B288" s="72"/>
      <x:c r="C288" s="72"/>
      <x:c r="D288" s="72"/>
      <x:c r="E288" s="64"/>
      <x:c r="F288" s="64"/>
      <x:c r="G288" s="64"/>
      <x:c r="H288" s="112"/>
      <x:c r="I288" s="64"/>
    </x:row>
    <x:row r="289" ht="20" customHeight="1">
      <x:c r="A289" s="68" t="str">
        <x:f t="shared" si="4"/>
      </x:c>
      <x:c r="B289" s="72"/>
      <x:c r="C289" s="72"/>
      <x:c r="D289" s="72"/>
      <x:c r="E289" s="64"/>
      <x:c r="F289" s="64"/>
      <x:c r="G289" s="64"/>
      <x:c r="H289" s="112"/>
      <x:c r="I289" s="64"/>
    </x:row>
    <x:row r="290" ht="20" customHeight="1">
      <x:c r="A290" s="68" t="str">
        <x:f t="shared" si="4"/>
      </x:c>
      <x:c r="B290" s="72"/>
      <x:c r="C290" s="72"/>
      <x:c r="D290" s="72"/>
      <x:c r="E290" s="64"/>
      <x:c r="F290" s="64"/>
      <x:c r="G290" s="64"/>
      <x:c r="H290" s="112"/>
      <x:c r="I290" s="64"/>
    </x:row>
    <x:row r="291" ht="20" customHeight="1">
      <x:c r="A291" s="68" t="str">
        <x:f t="shared" si="4"/>
      </x:c>
      <x:c r="B291" s="72"/>
      <x:c r="C291" s="72"/>
      <x:c r="D291" s="72"/>
      <x:c r="E291" s="64"/>
      <x:c r="F291" s="64"/>
      <x:c r="G291" s="64"/>
      <x:c r="H291" s="112"/>
      <x:c r="I291" s="64"/>
    </x:row>
    <x:row r="292" ht="20" customHeight="1">
      <x:c r="A292" s="68" t="str">
        <x:f t="shared" si="4"/>
      </x:c>
      <x:c r="B292" s="72"/>
      <x:c r="C292" s="72"/>
      <x:c r="D292" s="72"/>
      <x:c r="E292" s="64"/>
      <x:c r="F292" s="64"/>
      <x:c r="G292" s="64"/>
      <x:c r="H292" s="112"/>
      <x:c r="I292" s="64"/>
    </x:row>
    <x:row r="293" ht="20" customHeight="1">
      <x:c r="A293" s="68" t="str">
        <x:f t="shared" si="4"/>
      </x:c>
      <x:c r="B293" s="72"/>
      <x:c r="C293" s="72"/>
      <x:c r="D293" s="72"/>
      <x:c r="E293" s="64"/>
      <x:c r="F293" s="64"/>
      <x:c r="G293" s="64"/>
      <x:c r="H293" s="112"/>
      <x:c r="I293" s="64"/>
    </x:row>
    <x:row r="294" ht="20" customHeight="1">
      <x:c r="A294" s="68" t="str">
        <x:f t="shared" si="4"/>
      </x:c>
      <x:c r="B294" s="72"/>
      <x:c r="C294" s="72"/>
      <x:c r="D294" s="72"/>
      <x:c r="E294" s="64"/>
      <x:c r="F294" s="64"/>
      <x:c r="G294" s="64"/>
      <x:c r="H294" s="112"/>
      <x:c r="I294" s="64"/>
    </x:row>
    <x:row r="295" ht="20" customHeight="1">
      <x:c r="A295" s="68" t="str">
        <x:f t="shared" si="4"/>
      </x:c>
      <x:c r="B295" s="72"/>
      <x:c r="C295" s="72"/>
      <x:c r="D295" s="72"/>
      <x:c r="E295" s="64"/>
      <x:c r="F295" s="64"/>
      <x:c r="G295" s="64"/>
      <x:c r="H295" s="112"/>
      <x:c r="I295" s="64"/>
    </x:row>
    <x:row r="296" ht="20" customHeight="1">
      <x:c r="A296" s="68" t="str">
        <x:f t="shared" si="4"/>
      </x:c>
      <x:c r="B296" s="72"/>
      <x:c r="C296" s="72"/>
      <x:c r="D296" s="72"/>
      <x:c r="E296" s="64"/>
      <x:c r="F296" s="64"/>
      <x:c r="G296" s="64"/>
      <x:c r="H296" s="112"/>
      <x:c r="I296" s="64"/>
    </x:row>
    <x:row r="297" ht="20" customHeight="1">
      <x:c r="A297" s="68" t="str">
        <x:f t="shared" si="4"/>
      </x:c>
      <x:c r="B297" s="72"/>
      <x:c r="C297" s="72"/>
      <x:c r="D297" s="72"/>
      <x:c r="E297" s="64"/>
      <x:c r="F297" s="64"/>
      <x:c r="G297" s="64"/>
      <x:c r="H297" s="112"/>
      <x:c r="I297" s="64"/>
    </x:row>
    <x:row r="298" ht="20" customHeight="1">
      <x:c r="A298" s="68" t="str">
        <x:f t="shared" si="4"/>
      </x:c>
      <x:c r="B298" s="72"/>
      <x:c r="C298" s="72"/>
      <x:c r="D298" s="72"/>
      <x:c r="E298" s="64"/>
      <x:c r="F298" s="64"/>
      <x:c r="G298" s="64"/>
      <x:c r="H298" s="112"/>
      <x:c r="I298" s="64"/>
    </x:row>
    <x:row r="299" ht="20" customHeight="1">
      <x:c r="A299" s="68" t="str">
        <x:f t="shared" si="4"/>
      </x:c>
      <x:c r="B299" s="72"/>
      <x:c r="C299" s="72"/>
      <x:c r="D299" s="72"/>
      <x:c r="E299" s="64"/>
      <x:c r="F299" s="64"/>
      <x:c r="G299" s="64"/>
      <x:c r="H299" s="112"/>
      <x:c r="I299" s="64"/>
    </x:row>
    <x:row r="300" ht="20" customHeight="1">
      <x:c r="A300" s="68" t="str">
        <x:f t="shared" si="4"/>
      </x:c>
      <x:c r="B300" s="72"/>
      <x:c r="C300" s="72"/>
      <x:c r="D300" s="72"/>
      <x:c r="E300" s="64"/>
      <x:c r="F300" s="64"/>
      <x:c r="G300" s="64"/>
      <x:c r="H300" s="112"/>
      <x:c r="I300" s="64"/>
    </x:row>
    <x:row r="301" ht="20" customHeight="1">
      <x:c r="A301" s="68" t="str">
        <x:f t="shared" si="4"/>
      </x:c>
      <x:c r="B301" s="72"/>
      <x:c r="C301" s="72"/>
      <x:c r="D301" s="72"/>
      <x:c r="E301" s="64"/>
      <x:c r="F301" s="64"/>
      <x:c r="G301" s="64"/>
      <x:c r="H301" s="112"/>
      <x:c r="I301" s="64"/>
    </x:row>
    <x:row r="302" ht="20" customHeight="1">
      <x:c r="A302" s="68" t="str">
        <x:f t="shared" si="4"/>
      </x:c>
      <x:c r="B302" s="72"/>
      <x:c r="C302" s="72"/>
      <x:c r="D302" s="72"/>
      <x:c r="E302" s="64"/>
      <x:c r="F302" s="64"/>
      <x:c r="G302" s="64"/>
      <x:c r="H302" s="112"/>
      <x:c r="I302" s="64"/>
    </x:row>
    <x:row r="303" ht="20" customHeight="1">
      <x:c r="A303" s="68" t="str">
        <x:f t="shared" si="4"/>
      </x:c>
      <x:c r="B303" s="72"/>
      <x:c r="C303" s="72"/>
      <x:c r="D303" s="72"/>
      <x:c r="E303" s="64"/>
      <x:c r="F303" s="64"/>
      <x:c r="G303" s="64"/>
      <x:c r="H303" s="112"/>
      <x:c r="I303" s="64"/>
    </x:row>
    <x:row r="304" ht="20" customHeight="1">
      <x:c r="A304" s="68" t="str">
        <x:f t="shared" si="4"/>
      </x:c>
      <x:c r="B304" s="72"/>
      <x:c r="C304" s="72"/>
      <x:c r="D304" s="72"/>
      <x:c r="E304" s="64"/>
      <x:c r="F304" s="64"/>
      <x:c r="G304" s="64"/>
      <x:c r="H304" s="112"/>
      <x:c r="I304" s="64"/>
    </x:row>
    <x:row r="305" ht="20" customHeight="1">
      <x:c r="A305" s="68" t="str">
        <x:f t="shared" si="4"/>
      </x:c>
      <x:c r="B305" s="72"/>
      <x:c r="C305" s="72"/>
      <x:c r="D305" s="72"/>
      <x:c r="E305" s="64"/>
      <x:c r="F305" s="64"/>
      <x:c r="G305" s="64"/>
      <x:c r="H305" s="112"/>
      <x:c r="I305" s="64"/>
    </x:row>
    <x:row r="306" ht="20" customHeight="1">
      <x:c r="A306" s="68" t="str">
        <x:f t="shared" si="4"/>
      </x:c>
      <x:c r="B306" s="72"/>
      <x:c r="C306" s="72"/>
      <x:c r="D306" s="72"/>
      <x:c r="E306" s="64"/>
      <x:c r="F306" s="64"/>
      <x:c r="G306" s="64"/>
      <x:c r="H306" s="112"/>
      <x:c r="I306" s="64"/>
    </x:row>
    <x:row r="307" ht="20" customHeight="1">
      <x:c r="A307" s="68" t="str">
        <x:f t="shared" si="4"/>
      </x:c>
      <x:c r="B307" s="72"/>
      <x:c r="C307" s="72"/>
      <x:c r="D307" s="72"/>
      <x:c r="E307" s="64"/>
      <x:c r="F307" s="64"/>
      <x:c r="G307" s="64"/>
      <x:c r="H307" s="112"/>
      <x:c r="I307" s="64"/>
    </x:row>
    <x:row r="308" ht="20" customHeight="1">
      <x:c r="A308" s="68" t="str">
        <x:f t="shared" si="4"/>
      </x:c>
      <x:c r="B308" s="72"/>
      <x:c r="C308" s="72"/>
      <x:c r="D308" s="72"/>
      <x:c r="E308" s="64"/>
      <x:c r="F308" s="64"/>
      <x:c r="G308" s="64"/>
      <x:c r="H308" s="112"/>
      <x:c r="I308" s="64"/>
    </x:row>
    <x:row r="309" ht="20" customHeight="1">
      <x:c r="A309" s="68" t="str">
        <x:f t="shared" si="4"/>
      </x:c>
      <x:c r="B309" s="72"/>
      <x:c r="C309" s="72"/>
      <x:c r="D309" s="72"/>
      <x:c r="E309" s="64"/>
      <x:c r="F309" s="64"/>
      <x:c r="G309" s="64"/>
      <x:c r="H309" s="112"/>
      <x:c r="I309" s="64"/>
    </x:row>
    <x:row r="310" ht="20" customHeight="1">
      <x:c r="A310" s="68" t="str">
        <x:f t="shared" si="4"/>
      </x:c>
      <x:c r="B310" s="72"/>
      <x:c r="C310" s="72"/>
      <x:c r="D310" s="72"/>
      <x:c r="E310" s="64"/>
      <x:c r="F310" s="64"/>
      <x:c r="G310" s="64"/>
      <x:c r="H310" s="112"/>
      <x:c r="I310" s="64"/>
    </x:row>
    <x:row r="311" ht="20" customHeight="1">
      <x:c r="A311" s="68" t="str">
        <x:f t="shared" si="4"/>
      </x:c>
      <x:c r="B311" s="72"/>
      <x:c r="C311" s="72"/>
      <x:c r="D311" s="72"/>
      <x:c r="E311" s="64"/>
      <x:c r="F311" s="64"/>
      <x:c r="G311" s="64"/>
      <x:c r="H311" s="112"/>
      <x:c r="I311" s="64"/>
    </x:row>
    <x:row r="312" ht="20" customHeight="1">
      <x:c r="A312" s="68" t="str">
        <x:f t="shared" si="4"/>
      </x:c>
      <x:c r="B312" s="72"/>
      <x:c r="C312" s="72"/>
      <x:c r="D312" s="72"/>
      <x:c r="E312" s="64"/>
      <x:c r="F312" s="64"/>
      <x:c r="G312" s="64"/>
      <x:c r="H312" s="112"/>
      <x:c r="I312" s="64"/>
    </x:row>
    <x:row r="313" ht="20" customHeight="1">
      <x:c r="A313" s="68" t="str">
        <x:f t="shared" si="4"/>
      </x:c>
      <x:c r="B313" s="72"/>
      <x:c r="C313" s="72"/>
      <x:c r="D313" s="72"/>
      <x:c r="E313" s="64"/>
      <x:c r="F313" s="64"/>
      <x:c r="G313" s="64"/>
      <x:c r="H313" s="112"/>
      <x:c r="I313" s="64"/>
    </x:row>
    <x:row r="314" ht="20" customHeight="1">
      <x:c r="A314" s="68" t="str">
        <x:f t="shared" si="4"/>
      </x:c>
      <x:c r="B314" s="72"/>
      <x:c r="C314" s="72"/>
      <x:c r="D314" s="72"/>
      <x:c r="E314" s="64"/>
      <x:c r="F314" s="64"/>
      <x:c r="G314" s="64"/>
      <x:c r="H314" s="112"/>
      <x:c r="I314" s="64"/>
    </x:row>
    <x:row r="315" ht="20" customHeight="1">
      <x:c r="A315" s="68" t="str">
        <x:f t="shared" si="4"/>
      </x:c>
      <x:c r="B315" s="72"/>
      <x:c r="C315" s="72"/>
      <x:c r="D315" s="72"/>
      <x:c r="E315" s="64"/>
      <x:c r="F315" s="64"/>
      <x:c r="G315" s="64"/>
      <x:c r="H315" s="112"/>
      <x:c r="I315" s="64"/>
    </x:row>
    <x:row r="316" ht="20" customHeight="1">
      <x:c r="A316" s="68" t="str">
        <x:f t="shared" si="4"/>
      </x:c>
      <x:c r="B316" s="72"/>
      <x:c r="C316" s="72"/>
      <x:c r="D316" s="72"/>
      <x:c r="E316" s="64"/>
      <x:c r="F316" s="64"/>
      <x:c r="G316" s="64"/>
      <x:c r="H316" s="112"/>
      <x:c r="I316" s="64"/>
    </x:row>
    <x:row r="317" ht="20" customHeight="1">
      <x:c r="A317" s="68" t="str">
        <x:f t="shared" si="4"/>
      </x:c>
      <x:c r="B317" s="72"/>
      <x:c r="C317" s="72"/>
      <x:c r="D317" s="72"/>
      <x:c r="E317" s="64"/>
      <x:c r="F317" s="64"/>
      <x:c r="G317" s="64"/>
      <x:c r="H317" s="112"/>
      <x:c r="I317" s="64"/>
    </x:row>
    <x:row r="318" ht="20" customHeight="1">
      <x:c r="A318" s="68" t="str">
        <x:f t="shared" si="4"/>
      </x:c>
      <x:c r="B318" s="72"/>
      <x:c r="C318" s="72"/>
      <x:c r="D318" s="72"/>
      <x:c r="E318" s="64"/>
      <x:c r="F318" s="64"/>
      <x:c r="G318" s="64"/>
      <x:c r="H318" s="112"/>
      <x:c r="I318" s="64"/>
    </x:row>
    <x:row r="319" ht="20" customHeight="1">
      <x:c r="A319" s="68" t="str">
        <x:f t="shared" si="4"/>
      </x:c>
      <x:c r="B319" s="72"/>
      <x:c r="C319" s="72"/>
      <x:c r="D319" s="72"/>
      <x:c r="E319" s="64"/>
      <x:c r="F319" s="64"/>
      <x:c r="G319" s="64"/>
      <x:c r="H319" s="112"/>
      <x:c r="I319" s="64"/>
    </x:row>
    <x:row r="320" ht="20" customHeight="1">
      <x:c r="A320" s="68" t="str">
        <x:f t="shared" si="4"/>
      </x:c>
      <x:c r="B320" s="72"/>
      <x:c r="C320" s="72"/>
      <x:c r="D320" s="72"/>
      <x:c r="E320" s="64"/>
      <x:c r="F320" s="64"/>
      <x:c r="G320" s="64"/>
      <x:c r="H320" s="112"/>
      <x:c r="I320" s="64"/>
    </x:row>
    <x:row r="321" ht="20" customHeight="1">
      <x:c r="A321" s="68" t="str">
        <x:f t="shared" si="4"/>
      </x:c>
      <x:c r="B321" s="72"/>
      <x:c r="C321" s="72"/>
      <x:c r="D321" s="72"/>
      <x:c r="E321" s="64"/>
      <x:c r="F321" s="64"/>
      <x:c r="G321" s="64"/>
      <x:c r="H321" s="112"/>
      <x:c r="I321" s="64"/>
    </x:row>
    <x:row r="322" ht="20" customHeight="1">
      <x:c r="A322" s="68" t="str">
        <x:f t="shared" si="4"/>
      </x:c>
      <x:c r="B322" s="72"/>
      <x:c r="C322" s="72"/>
      <x:c r="D322" s="72"/>
      <x:c r="E322" s="64"/>
      <x:c r="F322" s="64"/>
      <x:c r="G322" s="64"/>
      <x:c r="H322" s="112"/>
      <x:c r="I322" s="64"/>
    </x:row>
    <x:row r="323" ht="20" customHeight="1">
      <x:c r="A323" s="68" t="str">
        <x:f t="shared" si="4"/>
      </x:c>
      <x:c r="B323" s="72"/>
      <x:c r="C323" s="72"/>
      <x:c r="D323" s="72"/>
      <x:c r="E323" s="64"/>
      <x:c r="F323" s="64"/>
      <x:c r="G323" s="64"/>
      <x:c r="H323" s="112"/>
      <x:c r="I323" s="64"/>
    </x:row>
    <x:row r="324" ht="20" customHeight="1">
      <x:c r="A324" s="68" t="str">
        <x:f t="shared" ref="A324:A387" si="5">IF(F324="","",ROW()-3)</x:f>
      </x:c>
      <x:c r="B324" s="72"/>
      <x:c r="C324" s="72"/>
      <x:c r="D324" s="72"/>
      <x:c r="E324" s="64"/>
      <x:c r="F324" s="64"/>
      <x:c r="G324" s="64"/>
      <x:c r="H324" s="112"/>
      <x:c r="I324" s="64"/>
    </x:row>
    <x:row r="325" ht="20" customHeight="1">
      <x:c r="A325" s="68" t="str">
        <x:f t="shared" si="5"/>
      </x:c>
      <x:c r="B325" s="72"/>
      <x:c r="C325" s="72"/>
      <x:c r="D325" s="72"/>
      <x:c r="E325" s="64"/>
      <x:c r="F325" s="64"/>
      <x:c r="G325" s="64"/>
      <x:c r="H325" s="112"/>
      <x:c r="I325" s="64"/>
    </x:row>
    <x:row r="326" ht="20" customHeight="1">
      <x:c r="A326" s="68" t="str">
        <x:f t="shared" si="5"/>
      </x:c>
      <x:c r="B326" s="72"/>
      <x:c r="C326" s="72"/>
      <x:c r="D326" s="72"/>
      <x:c r="E326" s="64"/>
      <x:c r="F326" s="64"/>
      <x:c r="G326" s="64"/>
      <x:c r="H326" s="112"/>
      <x:c r="I326" s="64"/>
    </x:row>
    <x:row r="327" ht="20" customHeight="1">
      <x:c r="A327" s="68" t="str">
        <x:f t="shared" si="5"/>
      </x:c>
      <x:c r="B327" s="72"/>
      <x:c r="C327" s="72"/>
      <x:c r="D327" s="72"/>
      <x:c r="E327" s="64"/>
      <x:c r="F327" s="64"/>
      <x:c r="G327" s="64"/>
      <x:c r="H327" s="112"/>
      <x:c r="I327" s="64"/>
    </x:row>
    <x:row r="328" ht="20" customHeight="1">
      <x:c r="A328" s="68" t="str">
        <x:f t="shared" si="5"/>
      </x:c>
      <x:c r="B328" s="72"/>
      <x:c r="C328" s="72"/>
      <x:c r="D328" s="72"/>
      <x:c r="E328" s="64"/>
      <x:c r="F328" s="64"/>
      <x:c r="G328" s="64"/>
      <x:c r="H328" s="112"/>
      <x:c r="I328" s="64"/>
    </x:row>
    <x:row r="329" ht="20" customHeight="1">
      <x:c r="A329" s="68" t="str">
        <x:f t="shared" si="5"/>
      </x:c>
      <x:c r="B329" s="72"/>
      <x:c r="C329" s="72"/>
      <x:c r="D329" s="72"/>
      <x:c r="E329" s="64"/>
      <x:c r="F329" s="64"/>
      <x:c r="G329" s="64"/>
      <x:c r="H329" s="112"/>
      <x:c r="I329" s="64"/>
    </x:row>
    <x:row r="330" ht="20" customHeight="1">
      <x:c r="A330" s="68" t="str">
        <x:f t="shared" si="5"/>
      </x:c>
      <x:c r="B330" s="72"/>
      <x:c r="C330" s="72"/>
      <x:c r="D330" s="72"/>
      <x:c r="E330" s="64"/>
      <x:c r="F330" s="64"/>
      <x:c r="G330" s="64"/>
      <x:c r="H330" s="112"/>
      <x:c r="I330" s="64"/>
    </x:row>
    <x:row r="331" ht="20" customHeight="1">
      <x:c r="A331" s="68" t="str">
        <x:f t="shared" si="5"/>
      </x:c>
      <x:c r="B331" s="72"/>
      <x:c r="C331" s="72"/>
      <x:c r="D331" s="72"/>
      <x:c r="E331" s="64"/>
      <x:c r="F331" s="64"/>
      <x:c r="G331" s="64"/>
      <x:c r="H331" s="112"/>
      <x:c r="I331" s="64"/>
    </x:row>
    <x:row r="332" ht="20" customHeight="1">
      <x:c r="A332" s="68" t="str">
        <x:f t="shared" si="5"/>
      </x:c>
      <x:c r="B332" s="72"/>
      <x:c r="C332" s="72"/>
      <x:c r="D332" s="72"/>
      <x:c r="E332" s="64"/>
      <x:c r="F332" s="64"/>
      <x:c r="G332" s="64"/>
      <x:c r="H332" s="112"/>
      <x:c r="I332" s="64"/>
    </x:row>
    <x:row r="333" ht="20" customHeight="1">
      <x:c r="A333" s="68" t="str">
        <x:f t="shared" si="5"/>
      </x:c>
      <x:c r="B333" s="72"/>
      <x:c r="C333" s="72"/>
      <x:c r="D333" s="72"/>
      <x:c r="E333" s="64"/>
      <x:c r="F333" s="64"/>
      <x:c r="G333" s="64"/>
      <x:c r="H333" s="112"/>
      <x:c r="I333" s="64"/>
    </x:row>
    <x:row r="334" ht="20" customHeight="1">
      <x:c r="A334" s="68" t="str">
        <x:f t="shared" si="5"/>
      </x:c>
      <x:c r="B334" s="72"/>
      <x:c r="C334" s="72"/>
      <x:c r="D334" s="72"/>
      <x:c r="E334" s="64"/>
      <x:c r="F334" s="64"/>
      <x:c r="G334" s="64"/>
      <x:c r="H334" s="112"/>
      <x:c r="I334" s="64"/>
    </x:row>
    <x:row r="335" ht="20" customHeight="1">
      <x:c r="A335" s="68" t="str">
        <x:f t="shared" si="5"/>
      </x:c>
      <x:c r="B335" s="72"/>
      <x:c r="C335" s="72"/>
      <x:c r="D335" s="72"/>
      <x:c r="E335" s="64"/>
      <x:c r="F335" s="64"/>
      <x:c r="G335" s="64"/>
      <x:c r="H335" s="112"/>
      <x:c r="I335" s="64"/>
    </x:row>
    <x:row r="336" ht="20" customHeight="1">
      <x:c r="A336" s="68" t="str">
        <x:f t="shared" si="5"/>
      </x:c>
      <x:c r="B336" s="72"/>
      <x:c r="C336" s="72"/>
      <x:c r="D336" s="72"/>
      <x:c r="E336" s="64"/>
      <x:c r="F336" s="64"/>
      <x:c r="G336" s="64"/>
      <x:c r="H336" s="112"/>
      <x:c r="I336" s="64"/>
    </x:row>
    <x:row r="337" ht="20" customHeight="1">
      <x:c r="A337" s="68" t="str">
        <x:f t="shared" si="5"/>
      </x:c>
      <x:c r="B337" s="72"/>
      <x:c r="C337" s="72"/>
      <x:c r="D337" s="72"/>
      <x:c r="E337" s="64"/>
      <x:c r="F337" s="64"/>
      <x:c r="G337" s="64"/>
      <x:c r="H337" s="112"/>
      <x:c r="I337" s="64"/>
    </x:row>
    <x:row r="338" ht="20" customHeight="1">
      <x:c r="A338" s="68" t="str">
        <x:f t="shared" si="5"/>
      </x:c>
      <x:c r="B338" s="72"/>
      <x:c r="C338" s="72"/>
      <x:c r="D338" s="72"/>
      <x:c r="E338" s="64"/>
      <x:c r="F338" s="64"/>
      <x:c r="G338" s="64"/>
      <x:c r="H338" s="112"/>
      <x:c r="I338" s="64"/>
    </x:row>
    <x:row r="339" ht="20" customHeight="1">
      <x:c r="A339" s="68" t="str">
        <x:f t="shared" si="5"/>
      </x:c>
      <x:c r="B339" s="72"/>
      <x:c r="C339" s="72"/>
      <x:c r="D339" s="72"/>
      <x:c r="E339" s="64"/>
      <x:c r="F339" s="64"/>
      <x:c r="G339" s="64"/>
      <x:c r="H339" s="112"/>
      <x:c r="I339" s="64"/>
    </x:row>
    <x:row r="340" ht="20" customHeight="1">
      <x:c r="A340" s="68" t="str">
        <x:f t="shared" si="5"/>
      </x:c>
      <x:c r="B340" s="72"/>
      <x:c r="C340" s="72"/>
      <x:c r="D340" s="72"/>
      <x:c r="E340" s="64"/>
      <x:c r="F340" s="64"/>
      <x:c r="G340" s="64"/>
      <x:c r="H340" s="112"/>
      <x:c r="I340" s="64"/>
    </x:row>
    <x:row r="341" ht="20" customHeight="1">
      <x:c r="A341" s="68" t="str">
        <x:f t="shared" si="5"/>
      </x:c>
      <x:c r="B341" s="72"/>
      <x:c r="C341" s="72"/>
      <x:c r="D341" s="72"/>
      <x:c r="E341" s="64"/>
      <x:c r="F341" s="64"/>
      <x:c r="G341" s="64"/>
      <x:c r="H341" s="112"/>
      <x:c r="I341" s="64"/>
    </x:row>
    <x:row r="342" ht="20" customHeight="1">
      <x:c r="A342" s="68" t="str">
        <x:f t="shared" si="5"/>
      </x:c>
      <x:c r="B342" s="72"/>
      <x:c r="C342" s="72"/>
      <x:c r="D342" s="72"/>
      <x:c r="E342" s="64"/>
      <x:c r="F342" s="64"/>
      <x:c r="G342" s="64"/>
      <x:c r="H342" s="112"/>
      <x:c r="I342" s="64"/>
    </x:row>
    <x:row r="343" ht="20" customHeight="1">
      <x:c r="A343" s="68" t="str">
        <x:f t="shared" si="5"/>
      </x:c>
      <x:c r="B343" s="72"/>
      <x:c r="C343" s="72"/>
      <x:c r="D343" s="72"/>
      <x:c r="E343" s="64"/>
      <x:c r="F343" s="64"/>
      <x:c r="G343" s="64"/>
      <x:c r="H343" s="112"/>
      <x:c r="I343" s="64"/>
    </x:row>
    <x:row r="344" ht="20" customHeight="1">
      <x:c r="A344" s="68" t="str">
        <x:f t="shared" si="5"/>
      </x:c>
      <x:c r="B344" s="72"/>
      <x:c r="C344" s="72"/>
      <x:c r="D344" s="72"/>
      <x:c r="E344" s="64"/>
      <x:c r="F344" s="64"/>
      <x:c r="G344" s="64"/>
      <x:c r="H344" s="112"/>
      <x:c r="I344" s="64"/>
    </x:row>
    <x:row r="345" ht="20" customHeight="1">
      <x:c r="A345" s="68" t="str">
        <x:f t="shared" si="5"/>
      </x:c>
      <x:c r="B345" s="72"/>
      <x:c r="C345" s="72"/>
      <x:c r="D345" s="72"/>
      <x:c r="E345" s="64"/>
      <x:c r="F345" s="64"/>
      <x:c r="G345" s="64"/>
      <x:c r="H345" s="112"/>
      <x:c r="I345" s="64"/>
    </x:row>
    <x:row r="346" ht="20" customHeight="1">
      <x:c r="A346" s="68" t="str">
        <x:f t="shared" si="5"/>
      </x:c>
      <x:c r="B346" s="72"/>
      <x:c r="C346" s="72"/>
      <x:c r="D346" s="72"/>
      <x:c r="E346" s="64"/>
      <x:c r="F346" s="64"/>
      <x:c r="G346" s="64"/>
      <x:c r="H346" s="112"/>
      <x:c r="I346" s="64"/>
    </x:row>
    <x:row r="347" ht="20" customHeight="1">
      <x:c r="A347" s="68" t="str">
        <x:f t="shared" si="5"/>
      </x:c>
      <x:c r="B347" s="72"/>
      <x:c r="C347" s="72"/>
      <x:c r="D347" s="72"/>
      <x:c r="E347" s="64"/>
      <x:c r="F347" s="64"/>
      <x:c r="G347" s="64"/>
      <x:c r="H347" s="112"/>
      <x:c r="I347" s="64"/>
    </x:row>
    <x:row r="348" ht="20" customHeight="1">
      <x:c r="A348" s="68" t="str">
        <x:f t="shared" si="5"/>
      </x:c>
      <x:c r="B348" s="72"/>
      <x:c r="C348" s="72"/>
      <x:c r="D348" s="72"/>
      <x:c r="E348" s="64"/>
      <x:c r="F348" s="64"/>
      <x:c r="G348" s="64"/>
      <x:c r="H348" s="112"/>
      <x:c r="I348" s="64"/>
    </x:row>
    <x:row r="349" ht="20" customHeight="1">
      <x:c r="A349" s="68" t="str">
        <x:f t="shared" si="5"/>
      </x:c>
      <x:c r="B349" s="72"/>
      <x:c r="C349" s="72"/>
      <x:c r="D349" s="72"/>
      <x:c r="E349" s="64"/>
      <x:c r="F349" s="64"/>
      <x:c r="G349" s="64"/>
      <x:c r="H349" s="112"/>
      <x:c r="I349" s="64"/>
    </x:row>
    <x:row r="350" ht="20" customHeight="1">
      <x:c r="A350" s="68" t="str">
        <x:f t="shared" si="5"/>
      </x:c>
      <x:c r="B350" s="72"/>
      <x:c r="C350" s="72"/>
      <x:c r="D350" s="72"/>
      <x:c r="E350" s="64"/>
      <x:c r="F350" s="64"/>
      <x:c r="G350" s="64"/>
      <x:c r="H350" s="112"/>
      <x:c r="I350" s="64"/>
    </x:row>
    <x:row r="351" ht="20" customHeight="1">
      <x:c r="A351" s="68" t="str">
        <x:f t="shared" si="5"/>
      </x:c>
      <x:c r="B351" s="72"/>
      <x:c r="C351" s="72"/>
      <x:c r="D351" s="72"/>
      <x:c r="E351" s="64"/>
      <x:c r="F351" s="64"/>
      <x:c r="G351" s="64"/>
      <x:c r="H351" s="112"/>
      <x:c r="I351" s="64"/>
    </x:row>
    <x:row r="352" ht="20" customHeight="1">
      <x:c r="A352" s="68" t="str">
        <x:f t="shared" si="5"/>
      </x:c>
      <x:c r="B352" s="72"/>
      <x:c r="C352" s="72"/>
      <x:c r="D352" s="72"/>
      <x:c r="E352" s="64"/>
      <x:c r="F352" s="64"/>
      <x:c r="G352" s="64"/>
      <x:c r="H352" s="112"/>
      <x:c r="I352" s="64"/>
    </x:row>
    <x:row r="353" ht="20" customHeight="1">
      <x:c r="A353" s="68" t="str">
        <x:f t="shared" si="5"/>
      </x:c>
      <x:c r="B353" s="72"/>
      <x:c r="C353" s="72"/>
      <x:c r="D353" s="72"/>
      <x:c r="E353" s="64"/>
      <x:c r="F353" s="64"/>
      <x:c r="G353" s="64"/>
      <x:c r="H353" s="112"/>
      <x:c r="I353" s="64"/>
    </x:row>
    <x:row r="354" ht="20" customHeight="1">
      <x:c r="A354" s="68" t="str">
        <x:f t="shared" si="5"/>
      </x:c>
      <x:c r="B354" s="72"/>
      <x:c r="C354" s="72"/>
      <x:c r="D354" s="72"/>
      <x:c r="E354" s="64"/>
      <x:c r="F354" s="64"/>
      <x:c r="G354" s="64"/>
      <x:c r="H354" s="112"/>
      <x:c r="I354" s="64"/>
    </x:row>
    <x:row r="355" ht="20" customHeight="1">
      <x:c r="A355" s="68" t="str">
        <x:f t="shared" si="5"/>
      </x:c>
      <x:c r="B355" s="72"/>
      <x:c r="C355" s="72"/>
      <x:c r="D355" s="72"/>
      <x:c r="E355" s="64"/>
      <x:c r="F355" s="64"/>
      <x:c r="G355" s="64"/>
      <x:c r="H355" s="112"/>
      <x:c r="I355" s="64"/>
    </x:row>
    <x:row r="356" ht="20" customHeight="1">
      <x:c r="A356" s="68" t="str">
        <x:f t="shared" si="5"/>
      </x:c>
      <x:c r="B356" s="72"/>
      <x:c r="C356" s="72"/>
      <x:c r="D356" s="72"/>
      <x:c r="E356" s="64"/>
      <x:c r="F356" s="64"/>
      <x:c r="G356" s="64"/>
      <x:c r="H356" s="112"/>
      <x:c r="I356" s="64"/>
    </x:row>
    <x:row r="357" ht="20" customHeight="1">
      <x:c r="A357" s="68" t="str">
        <x:f t="shared" si="5"/>
      </x:c>
      <x:c r="B357" s="72"/>
      <x:c r="C357" s="72"/>
      <x:c r="D357" s="72"/>
      <x:c r="E357" s="64"/>
      <x:c r="F357" s="64"/>
      <x:c r="G357" s="64"/>
      <x:c r="H357" s="112"/>
      <x:c r="I357" s="64"/>
    </x:row>
    <x:row r="358" ht="20" customHeight="1">
      <x:c r="A358" s="68" t="str">
        <x:f t="shared" si="5"/>
      </x:c>
      <x:c r="B358" s="72"/>
      <x:c r="C358" s="72"/>
      <x:c r="D358" s="72"/>
      <x:c r="E358" s="64"/>
      <x:c r="F358" s="64"/>
      <x:c r="G358" s="64"/>
      <x:c r="H358" s="112"/>
      <x:c r="I358" s="64"/>
    </x:row>
    <x:row r="359" ht="20" customHeight="1">
      <x:c r="A359" s="68" t="str">
        <x:f t="shared" si="5"/>
      </x:c>
      <x:c r="B359" s="72"/>
      <x:c r="C359" s="72"/>
      <x:c r="D359" s="72"/>
      <x:c r="E359" s="64"/>
      <x:c r="F359" s="64"/>
      <x:c r="G359" s="64"/>
      <x:c r="H359" s="112"/>
      <x:c r="I359" s="64"/>
    </x:row>
    <x:row r="360" ht="20" customHeight="1">
      <x:c r="A360" s="68" t="str">
        <x:f t="shared" si="5"/>
      </x:c>
      <x:c r="B360" s="72"/>
      <x:c r="C360" s="72"/>
      <x:c r="D360" s="72"/>
      <x:c r="E360" s="64"/>
      <x:c r="F360" s="64"/>
      <x:c r="G360" s="64"/>
      <x:c r="H360" s="112"/>
      <x:c r="I360" s="64"/>
    </x:row>
    <x:row r="361" ht="20" customHeight="1">
      <x:c r="A361" s="68" t="str">
        <x:f t="shared" si="5"/>
      </x:c>
      <x:c r="B361" s="72"/>
      <x:c r="C361" s="72"/>
      <x:c r="D361" s="72"/>
      <x:c r="E361" s="64"/>
      <x:c r="F361" s="64"/>
      <x:c r="G361" s="64"/>
      <x:c r="H361" s="112"/>
      <x:c r="I361" s="64"/>
    </x:row>
    <x:row r="362" ht="20" customHeight="1">
      <x:c r="A362" s="68" t="str">
        <x:f t="shared" si="5"/>
      </x:c>
      <x:c r="B362" s="72"/>
      <x:c r="C362" s="72"/>
      <x:c r="D362" s="72"/>
      <x:c r="E362" s="64"/>
      <x:c r="F362" s="64"/>
      <x:c r="G362" s="64"/>
      <x:c r="H362" s="112"/>
      <x:c r="I362" s="64"/>
    </x:row>
    <x:row r="363" ht="20" customHeight="1">
      <x:c r="A363" s="68" t="str">
        <x:f t="shared" si="5"/>
      </x:c>
      <x:c r="B363" s="72"/>
      <x:c r="C363" s="72"/>
      <x:c r="D363" s="72"/>
      <x:c r="E363" s="64"/>
      <x:c r="F363" s="64"/>
      <x:c r="G363" s="64"/>
      <x:c r="H363" s="112"/>
      <x:c r="I363" s="64"/>
    </x:row>
    <x:row r="364" ht="20" customHeight="1">
      <x:c r="A364" s="68" t="str">
        <x:f t="shared" si="5"/>
      </x:c>
      <x:c r="B364" s="72"/>
      <x:c r="C364" s="72"/>
      <x:c r="D364" s="72"/>
      <x:c r="E364" s="64"/>
      <x:c r="F364" s="64"/>
      <x:c r="G364" s="64"/>
      <x:c r="H364" s="112"/>
      <x:c r="I364" s="64"/>
    </x:row>
    <x:row r="365" ht="20" customHeight="1">
      <x:c r="A365" s="68" t="str">
        <x:f t="shared" si="5"/>
      </x:c>
      <x:c r="B365" s="72"/>
      <x:c r="C365" s="72"/>
      <x:c r="D365" s="72"/>
      <x:c r="E365" s="64"/>
      <x:c r="F365" s="64"/>
      <x:c r="G365" s="64"/>
      <x:c r="H365" s="112"/>
      <x:c r="I365" s="64"/>
    </x:row>
    <x:row r="366" ht="20" customHeight="1">
      <x:c r="A366" s="68" t="str">
        <x:f t="shared" si="5"/>
      </x:c>
      <x:c r="B366" s="72"/>
      <x:c r="C366" s="72"/>
      <x:c r="D366" s="72"/>
      <x:c r="E366" s="64"/>
      <x:c r="F366" s="64"/>
      <x:c r="G366" s="64"/>
      <x:c r="H366" s="112"/>
      <x:c r="I366" s="64"/>
    </x:row>
    <x:row r="367" ht="20" customHeight="1">
      <x:c r="A367" s="68" t="str">
        <x:f t="shared" si="5"/>
      </x:c>
      <x:c r="B367" s="72"/>
      <x:c r="C367" s="72"/>
      <x:c r="D367" s="72"/>
      <x:c r="E367" s="64"/>
      <x:c r="F367" s="64"/>
      <x:c r="G367" s="64"/>
      <x:c r="H367" s="112"/>
      <x:c r="I367" s="64"/>
    </x:row>
    <x:row r="368" ht="20" customHeight="1">
      <x:c r="A368" s="68" t="str">
        <x:f t="shared" si="5"/>
      </x:c>
      <x:c r="B368" s="72"/>
      <x:c r="C368" s="72"/>
      <x:c r="D368" s="72"/>
      <x:c r="E368" s="64"/>
      <x:c r="F368" s="64"/>
      <x:c r="G368" s="64"/>
      <x:c r="H368" s="112"/>
      <x:c r="I368" s="64"/>
    </x:row>
    <x:row r="369" ht="20" customHeight="1">
      <x:c r="A369" s="68" t="str">
        <x:f t="shared" si="5"/>
      </x:c>
      <x:c r="B369" s="72"/>
      <x:c r="C369" s="72"/>
      <x:c r="D369" s="72"/>
      <x:c r="E369" s="64"/>
      <x:c r="F369" s="64"/>
      <x:c r="G369" s="64"/>
      <x:c r="H369" s="112"/>
      <x:c r="I369" s="64"/>
    </x:row>
    <x:row r="370" ht="20" customHeight="1">
      <x:c r="A370" s="68" t="str">
        <x:f t="shared" si="5"/>
      </x:c>
      <x:c r="B370" s="72"/>
      <x:c r="C370" s="72"/>
      <x:c r="D370" s="72"/>
      <x:c r="E370" s="64"/>
      <x:c r="F370" s="64"/>
      <x:c r="G370" s="64"/>
      <x:c r="H370" s="112"/>
      <x:c r="I370" s="64"/>
    </x:row>
    <x:row r="371" ht="20" customHeight="1">
      <x:c r="A371" s="68" t="str">
        <x:f t="shared" si="5"/>
      </x:c>
      <x:c r="B371" s="72"/>
      <x:c r="C371" s="72"/>
      <x:c r="D371" s="72"/>
      <x:c r="E371" s="64"/>
      <x:c r="F371" s="64"/>
      <x:c r="G371" s="64"/>
      <x:c r="H371" s="112"/>
      <x:c r="I371" s="64"/>
    </x:row>
    <x:row r="372" ht="20" customHeight="1">
      <x:c r="A372" s="68" t="str">
        <x:f t="shared" si="5"/>
      </x:c>
      <x:c r="B372" s="72"/>
      <x:c r="C372" s="72"/>
      <x:c r="D372" s="72"/>
      <x:c r="E372" s="64"/>
      <x:c r="F372" s="64"/>
      <x:c r="G372" s="64"/>
      <x:c r="H372" s="112"/>
      <x:c r="I372" s="64"/>
    </x:row>
    <x:row r="373" ht="20" customHeight="1">
      <x:c r="A373" s="68" t="str">
        <x:f t="shared" si="5"/>
      </x:c>
      <x:c r="B373" s="72"/>
      <x:c r="C373" s="72"/>
      <x:c r="D373" s="72"/>
      <x:c r="E373" s="64"/>
      <x:c r="F373" s="64"/>
      <x:c r="G373" s="64"/>
      <x:c r="H373" s="112"/>
      <x:c r="I373" s="64"/>
    </x:row>
    <x:row r="374" ht="20" customHeight="1">
      <x:c r="A374" s="68" t="str">
        <x:f t="shared" si="5"/>
      </x:c>
      <x:c r="B374" s="72"/>
      <x:c r="C374" s="72"/>
      <x:c r="D374" s="72"/>
      <x:c r="E374" s="64"/>
      <x:c r="F374" s="64"/>
      <x:c r="G374" s="64"/>
      <x:c r="H374" s="112"/>
      <x:c r="I374" s="64"/>
    </x:row>
    <x:row r="375" ht="20" customHeight="1">
      <x:c r="A375" s="68" t="str">
        <x:f t="shared" si="5"/>
      </x:c>
      <x:c r="B375" s="72"/>
      <x:c r="C375" s="72"/>
      <x:c r="D375" s="72"/>
      <x:c r="E375" s="64"/>
      <x:c r="F375" s="64"/>
      <x:c r="G375" s="64"/>
      <x:c r="H375" s="112"/>
      <x:c r="I375" s="64"/>
    </x:row>
    <x:row r="376" ht="20" customHeight="1">
      <x:c r="A376" s="68" t="str">
        <x:f t="shared" si="5"/>
      </x:c>
      <x:c r="B376" s="72"/>
      <x:c r="C376" s="72"/>
      <x:c r="D376" s="72"/>
      <x:c r="E376" s="64"/>
      <x:c r="F376" s="64"/>
      <x:c r="G376" s="64"/>
      <x:c r="H376" s="112"/>
      <x:c r="I376" s="64"/>
    </x:row>
    <x:row r="377" ht="20" customHeight="1">
      <x:c r="A377" s="68" t="str">
        <x:f t="shared" si="5"/>
      </x:c>
      <x:c r="B377" s="72"/>
      <x:c r="C377" s="72"/>
      <x:c r="D377" s="72"/>
      <x:c r="E377" s="64"/>
      <x:c r="F377" s="64"/>
      <x:c r="G377" s="64"/>
      <x:c r="H377" s="112"/>
      <x:c r="I377" s="64"/>
    </x:row>
    <x:row r="378" ht="20" customHeight="1">
      <x:c r="A378" s="68" t="str">
        <x:f t="shared" si="5"/>
      </x:c>
      <x:c r="B378" s="72"/>
      <x:c r="C378" s="72"/>
      <x:c r="D378" s="72"/>
      <x:c r="E378" s="64"/>
      <x:c r="F378" s="64"/>
      <x:c r="G378" s="64"/>
      <x:c r="H378" s="112"/>
      <x:c r="I378" s="64"/>
    </x:row>
    <x:row r="379" ht="20" customHeight="1">
      <x:c r="A379" s="68" t="str">
        <x:f t="shared" si="5"/>
      </x:c>
      <x:c r="B379" s="72"/>
      <x:c r="C379" s="72"/>
      <x:c r="D379" s="72"/>
      <x:c r="E379" s="64"/>
      <x:c r="F379" s="64"/>
      <x:c r="G379" s="64"/>
      <x:c r="H379" s="112"/>
      <x:c r="I379" s="64"/>
    </x:row>
    <x:row r="380" ht="20" customHeight="1">
      <x:c r="A380" s="68" t="str">
        <x:f t="shared" si="5"/>
      </x:c>
      <x:c r="B380" s="72"/>
      <x:c r="C380" s="72"/>
      <x:c r="D380" s="72"/>
      <x:c r="E380" s="64"/>
      <x:c r="F380" s="64"/>
      <x:c r="G380" s="64"/>
      <x:c r="H380" s="112"/>
      <x:c r="I380" s="64"/>
    </x:row>
    <x:row r="381" ht="20" customHeight="1">
      <x:c r="A381" s="68" t="str">
        <x:f t="shared" si="5"/>
      </x:c>
      <x:c r="B381" s="72"/>
      <x:c r="C381" s="72"/>
      <x:c r="D381" s="72"/>
      <x:c r="E381" s="64"/>
      <x:c r="F381" s="64"/>
      <x:c r="G381" s="64"/>
      <x:c r="H381" s="112"/>
      <x:c r="I381" s="64"/>
    </x:row>
    <x:row r="382" ht="20" customHeight="1">
      <x:c r="A382" s="68" t="str">
        <x:f t="shared" si="5"/>
      </x:c>
      <x:c r="B382" s="72"/>
      <x:c r="C382" s="72"/>
      <x:c r="D382" s="72"/>
      <x:c r="E382" s="64"/>
      <x:c r="F382" s="64"/>
      <x:c r="G382" s="64"/>
      <x:c r="H382" s="112"/>
      <x:c r="I382" s="64"/>
    </x:row>
    <x:row r="383" ht="20" customHeight="1">
      <x:c r="A383" s="68" t="str">
        <x:f t="shared" si="5"/>
      </x:c>
      <x:c r="B383" s="72"/>
      <x:c r="C383" s="72"/>
      <x:c r="D383" s="72"/>
      <x:c r="E383" s="64"/>
      <x:c r="F383" s="64"/>
      <x:c r="G383" s="64"/>
      <x:c r="H383" s="112"/>
      <x:c r="I383" s="64"/>
    </x:row>
    <x:row r="384" ht="20" customHeight="1">
      <x:c r="A384" s="68" t="str">
        <x:f t="shared" si="5"/>
      </x:c>
      <x:c r="B384" s="72"/>
      <x:c r="C384" s="72"/>
      <x:c r="D384" s="72"/>
      <x:c r="E384" s="64"/>
      <x:c r="F384" s="64"/>
      <x:c r="G384" s="64"/>
      <x:c r="H384" s="112"/>
      <x:c r="I384" s="64"/>
    </x:row>
    <x:row r="385" ht="20" customHeight="1">
      <x:c r="A385" s="68" t="str">
        <x:f t="shared" si="5"/>
      </x:c>
      <x:c r="B385" s="72"/>
      <x:c r="C385" s="72"/>
      <x:c r="D385" s="72"/>
      <x:c r="E385" s="64"/>
      <x:c r="F385" s="64"/>
      <x:c r="G385" s="64"/>
      <x:c r="H385" s="112"/>
      <x:c r="I385" s="64"/>
    </x:row>
    <x:row r="386" ht="20" customHeight="1">
      <x:c r="A386" s="68" t="str">
        <x:f t="shared" si="5"/>
      </x:c>
      <x:c r="B386" s="72"/>
      <x:c r="C386" s="72"/>
      <x:c r="D386" s="72"/>
      <x:c r="E386" s="64"/>
      <x:c r="F386" s="64"/>
      <x:c r="G386" s="64"/>
      <x:c r="H386" s="112"/>
      <x:c r="I386" s="64"/>
    </x:row>
    <x:row r="387" ht="20" customHeight="1">
      <x:c r="A387" s="68" t="str">
        <x:f t="shared" si="5"/>
      </x:c>
      <x:c r="B387" s="72"/>
      <x:c r="C387" s="72"/>
      <x:c r="D387" s="72"/>
      <x:c r="E387" s="64"/>
      <x:c r="F387" s="64"/>
      <x:c r="G387" s="64"/>
      <x:c r="H387" s="112"/>
      <x:c r="I387" s="64"/>
    </x:row>
    <x:row r="388" ht="20" customHeight="1">
      <x:c r="A388" s="68" t="str">
        <x:f t="shared" ref="A388:A403" si="6">IF(F388="","",ROW()-3)</x:f>
      </x:c>
      <x:c r="B388" s="72"/>
      <x:c r="C388" s="72"/>
      <x:c r="D388" s="72"/>
      <x:c r="E388" s="64"/>
      <x:c r="F388" s="64"/>
      <x:c r="G388" s="64"/>
      <x:c r="H388" s="112"/>
      <x:c r="I388" s="64"/>
    </x:row>
    <x:row r="389" ht="20" customHeight="1">
      <x:c r="A389" s="68" t="str">
        <x:f t="shared" si="6"/>
      </x:c>
      <x:c r="B389" s="72"/>
      <x:c r="C389" s="72"/>
      <x:c r="D389" s="72"/>
      <x:c r="E389" s="64"/>
      <x:c r="F389" s="64"/>
      <x:c r="G389" s="64"/>
      <x:c r="H389" s="112"/>
      <x:c r="I389" s="64"/>
    </x:row>
    <x:row r="390" ht="20" customHeight="1">
      <x:c r="A390" s="68" t="str">
        <x:f t="shared" si="6"/>
      </x:c>
      <x:c r="B390" s="72"/>
      <x:c r="C390" s="72"/>
      <x:c r="D390" s="72"/>
      <x:c r="E390" s="64"/>
      <x:c r="F390" s="64"/>
      <x:c r="G390" s="64"/>
      <x:c r="H390" s="112"/>
      <x:c r="I390" s="64"/>
    </x:row>
    <x:row r="391" ht="20" customHeight="1">
      <x:c r="A391" s="68" t="str">
        <x:f t="shared" si="6"/>
      </x:c>
      <x:c r="B391" s="72"/>
      <x:c r="C391" s="72"/>
      <x:c r="D391" s="72"/>
      <x:c r="E391" s="64"/>
      <x:c r="F391" s="64"/>
      <x:c r="G391" s="64"/>
      <x:c r="H391" s="112"/>
      <x:c r="I391" s="64"/>
    </x:row>
    <x:row r="392" ht="20" customHeight="1">
      <x:c r="A392" s="68" t="str">
        <x:f t="shared" si="6"/>
      </x:c>
      <x:c r="B392" s="72"/>
      <x:c r="C392" s="72"/>
      <x:c r="D392" s="72"/>
      <x:c r="E392" s="64"/>
      <x:c r="F392" s="64"/>
      <x:c r="G392" s="64"/>
      <x:c r="H392" s="112"/>
      <x:c r="I392" s="64"/>
    </x:row>
    <x:row r="393" ht="20" customHeight="1">
      <x:c r="A393" s="68" t="str">
        <x:f t="shared" si="6"/>
      </x:c>
      <x:c r="B393" s="72"/>
      <x:c r="C393" s="72"/>
      <x:c r="D393" s="72"/>
      <x:c r="E393" s="64"/>
      <x:c r="F393" s="64"/>
      <x:c r="G393" s="64"/>
      <x:c r="H393" s="112"/>
      <x:c r="I393" s="64"/>
    </x:row>
    <x:row r="394" ht="20" customHeight="1">
      <x:c r="A394" s="68" t="str">
        <x:f t="shared" si="6"/>
      </x:c>
      <x:c r="B394" s="72"/>
      <x:c r="C394" s="72"/>
      <x:c r="D394" s="72"/>
      <x:c r="E394" s="64"/>
      <x:c r="F394" s="64"/>
      <x:c r="G394" s="64"/>
      <x:c r="H394" s="112"/>
      <x:c r="I394" s="64"/>
    </x:row>
    <x:row r="395" ht="20" customHeight="1">
      <x:c r="A395" s="68" t="str">
        <x:f t="shared" si="6"/>
      </x:c>
      <x:c r="B395" s="72"/>
      <x:c r="C395" s="72"/>
      <x:c r="D395" s="72"/>
      <x:c r="E395" s="64"/>
      <x:c r="F395" s="64"/>
      <x:c r="G395" s="64"/>
      <x:c r="H395" s="112"/>
      <x:c r="I395" s="64"/>
    </x:row>
    <x:row r="396" ht="20" customHeight="1">
      <x:c r="A396" s="68" t="str">
        <x:f t="shared" si="6"/>
      </x:c>
      <x:c r="B396" s="72"/>
      <x:c r="C396" s="72"/>
      <x:c r="D396" s="72"/>
      <x:c r="E396" s="64"/>
      <x:c r="F396" s="64"/>
      <x:c r="G396" s="64"/>
      <x:c r="H396" s="112"/>
      <x:c r="I396" s="64"/>
    </x:row>
    <x:row r="397" ht="20" customHeight="1">
      <x:c r="A397" s="68" t="str">
        <x:f t="shared" si="6"/>
      </x:c>
      <x:c r="B397" s="72"/>
      <x:c r="C397" s="72"/>
      <x:c r="D397" s="72"/>
      <x:c r="E397" s="64"/>
      <x:c r="F397" s="64"/>
      <x:c r="G397" s="64"/>
      <x:c r="H397" s="112"/>
      <x:c r="I397" s="64"/>
    </x:row>
    <x:row r="398" ht="20" customHeight="1">
      <x:c r="A398" s="68" t="str">
        <x:f t="shared" si="6"/>
      </x:c>
      <x:c r="B398" s="72"/>
      <x:c r="C398" s="72"/>
      <x:c r="D398" s="72"/>
      <x:c r="E398" s="64"/>
      <x:c r="F398" s="64"/>
      <x:c r="G398" s="64"/>
      <x:c r="H398" s="112"/>
      <x:c r="I398" s="64"/>
    </x:row>
    <x:row r="399" ht="20" customHeight="1">
      <x:c r="A399" s="68" t="str">
        <x:f t="shared" si="6"/>
      </x:c>
      <x:c r="B399" s="72"/>
      <x:c r="C399" s="72"/>
      <x:c r="D399" s="72"/>
      <x:c r="E399" s="64"/>
      <x:c r="F399" s="64"/>
      <x:c r="G399" s="64"/>
      <x:c r="H399" s="112"/>
      <x:c r="I399" s="64"/>
    </x:row>
    <x:row r="400" ht="20" customHeight="1">
      <x:c r="A400" s="68" t="str">
        <x:f t="shared" si="6"/>
      </x:c>
      <x:c r="B400" s="72"/>
      <x:c r="C400" s="72"/>
      <x:c r="D400" s="72"/>
      <x:c r="E400" s="64"/>
      <x:c r="F400" s="64"/>
      <x:c r="G400" s="64"/>
      <x:c r="H400" s="112"/>
      <x:c r="I400" s="64"/>
    </x:row>
    <x:row r="401" ht="20" customHeight="1">
      <x:c r="A401" s="68" t="str">
        <x:f t="shared" si="6"/>
      </x:c>
      <x:c r="B401" s="72"/>
      <x:c r="C401" s="72"/>
      <x:c r="D401" s="72"/>
      <x:c r="E401" s="64"/>
      <x:c r="F401" s="64"/>
      <x:c r="G401" s="64"/>
      <x:c r="H401" s="112"/>
      <x:c r="I401" s="64"/>
    </x:row>
    <x:row r="402" ht="20" customHeight="1">
      <x:c r="A402" s="68" t="str">
        <x:f t="shared" si="6"/>
      </x:c>
      <x:c r="B402" s="72"/>
      <x:c r="C402" s="72"/>
      <x:c r="D402" s="72"/>
      <x:c r="E402" s="64"/>
      <x:c r="F402" s="64"/>
      <x:c r="G402" s="64"/>
      <x:c r="H402" s="112"/>
      <x:c r="I402" s="64"/>
    </x:row>
    <x:row r="403" ht="20" customHeight="1">
      <x:c r="A403" s="68" t="str">
        <x:f t="shared" si="6"/>
      </x:c>
      <x:c r="B403" s="72"/>
      <x:c r="C403" s="72"/>
      <x:c r="D403" s="72"/>
      <x:c r="E403" s="64"/>
      <x:c r="F403" s="64"/>
      <x:c r="G403" s="64"/>
      <x:c r="H403" s="112"/>
      <x:c r="I403" s="64"/>
    </x:row>
  </x:sheetData>
  <x:mergeCells>
    <x:mergeCell ref="A2:I2"/>
    <x:mergeCell ref="A1:I1"/>
  </x:mergeCells>
  <x:conditionalFormatting sqref="I4:I403">
    <x:cfRule type="expression" dxfId="22" priority="1">
      <x:formula>OR(I4="Recebido",I4="Pago",I4="Realizado",I4="Ativo",I4="Concluído")</x:formula>
    </x:cfRule>
    <x:cfRule type="expression" dxfId="23" priority="2">
      <x:formula>OR(I4="Pendente",I4="Retorno Pendente",I4="Em andamento",I4="Agendado")</x:formula>
    </x:cfRule>
    <x:cfRule type="expression" dxfId="24" priority="3">
      <x:formula>OR(I4="Cancelado",I4="Faltou")</x:formula>
    </x:cfRule>
    <x:cfRule type="expression" dxfId="25" priority="4">
      <x:formula>OR(I4="Inativo",I4="Em Pausa")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3.800000190734863"/>
  <x:cols>
    <x:col min="1" max="1" width="24" hidden="0" customWidth="1"/>
    <x:col min="2" max="2" width="15" hidden="0" customWidth="1"/>
    <x:col min="4" max="4" width="28" hidden="0" customWidth="1"/>
    <x:col min="5" max="5" width="13" hidden="0" customWidth="1"/>
    <x:col min="7" max="7" width="25" hidden="0" customWidth="1"/>
    <x:col min="8" max="8" width="14" hidden="0" customWidth="1"/>
    <x:col min="10" max="10" width="18" hidden="0" customWidth="1"/>
    <x:col min="11" max="11" width="18" hidden="0" customWidth="1"/>
    <x:col min="12" max="12" width="15" hidden="0" customWidth="1"/>
    <x:col min="13" max="13" width="18" hidden="0" customWidth="1"/>
    <x:col min="14" max="14" width="18" hidden="0" customWidth="1"/>
    <x:col min="15" max="15" width="18" hidden="0" customWidth="1"/>
    <x:col min="16" max="16" width="14" hidden="0" customWidth="1"/>
    <x:col min="17" max="17" width="20" hidden="0" customWidth="1"/>
    <x:col min="18" max="18" width="16" hidden="0" customWidth="1"/>
    <x:col min="3" max="3" width="3" hidden="0" customWidth="1"/>
    <x:col min="6" max="6" width="3" hidden="0" customWidth="1"/>
    <x:col min="9" max="9" width="3" hidden="0" customWidth="1"/>
  </x:cols>
  <x:sheetData>
    <x:row r="1" ht="30" customHeight="1">
      <x:c r="A1" s="37" t="s">
        <x:v>125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</x:row>
    <x:row r="2" ht="15.300000190734863" customHeight="1"/>
    <x:row r="3" ht="15.300000190734863" customHeight="1">
      <x:c r="A3" s="49" t="s">
        <x:v>126</x:v>
      </x:c>
      <x:c r="B3" s="49" t="s">
        <x:v>127</x:v>
      </x:c>
      <x:c r="C3" s="120"/>
      <x:c r="D3" s="49" t="s">
        <x:v>128</x:v>
      </x:c>
      <x:c r="E3" s="49" t="s">
        <x:v>3</x:v>
      </x:c>
      <x:c r="F3" s="120"/>
      <x:c r="G3" s="49" t="s">
        <x:v>129</x:v>
      </x:c>
      <x:c r="H3" s="49" t="s">
        <x:v>130</x:v>
      </x:c>
      <x:c r="I3" s="120"/>
      <x:c r="J3" s="49" t="s">
        <x:v>131</x:v>
      </x:c>
      <x:c r="K3" s="49" t="s">
        <x:v>32</x:v>
      </x:c>
      <x:c r="L3" s="49" t="s">
        <x:v>75</x:v>
      </x:c>
      <x:c r="M3" s="49" t="s">
        <x:v>76</x:v>
      </x:c>
      <x:c r="N3" s="49" t="s">
        <x:v>58</x:v>
      </x:c>
      <x:c r="O3" s="49" t="s">
        <x:v>132</x:v>
      </x:c>
      <x:c r="P3" s="49" t="s">
        <x:v>100</x:v>
      </x:c>
      <x:c r="Q3" s="49" t="s">
        <x:v>133</x:v>
      </x:c>
      <x:c r="R3" s="49" t="s">
        <x:v>134</x:v>
      </x:c>
    </x:row>
    <x:row r="4">
      <x:c r="A4" s="152" t="s">
        <x:v>61</x:v>
      </x:c>
      <x:c r="B4" s="162">
        <x:v>270</x:v>
      </x:c>
      <x:c r="C4" s="64"/>
      <x:c r="D4" s="152" t="s">
        <x:v>135</x:v>
      </x:c>
      <x:c r="E4" s="164">
        <x:v>0.1</x:v>
      </x:c>
      <x:c r="F4" s="64"/>
      <x:c r="G4" s="152" t="s">
        <x:v>102</x:v>
      </x:c>
      <x:c r="H4" s="162">
        <x:v>49.9</x:v>
      </x:c>
      <x:c r="I4" s="64"/>
      <x:c r="J4" s="152" t="s">
        <x:v>67</x:v>
      </x:c>
      <x:c r="K4" s="152" t="s">
        <x:v>40</x:v>
      </x:c>
      <x:c r="L4" s="152" t="s">
        <x:v>34</x:v>
      </x:c>
      <x:c r="M4" s="152" t="s">
        <x:v>80</x:v>
      </x:c>
      <x:c r="N4" s="152" t="s">
        <x:v>66</x:v>
      </x:c>
      <x:c r="O4" s="152" t="s">
        <x:v>93</x:v>
      </x:c>
      <x:c r="P4" s="152" t="s">
        <x:v>103</x:v>
      </x:c>
      <x:c r="Q4" s="152" t="s">
        <x:v>105</x:v>
      </x:c>
      <x:c r="R4" s="152" t="s">
        <x:v>93</x:v>
      </x:c>
    </x:row>
    <x:row r="5">
      <x:c r="A5" s="152" t="s">
        <x:v>64</x:v>
      </x:c>
      <x:c r="B5" s="162">
        <x:v>180</x:v>
      </x:c>
      <x:c r="C5" s="64"/>
      <x:c r="D5" s="152" t="s">
        <x:v>136</x:v>
      </x:c>
      <x:c r="E5" s="152">
        <x:v>1</x:v>
      </x:c>
      <x:c r="F5" s="64"/>
      <x:c r="G5" s="152" t="s">
        <x:v>106</x:v>
      </x:c>
      <x:c r="H5" s="162">
        <x:v>108.48</x:v>
      </x:c>
      <x:c r="I5" s="64"/>
      <x:c r="J5" s="152" t="s">
        <x:v>62</x:v>
      </x:c>
      <x:c r="K5" s="152" t="s">
        <x:v>43</x:v>
      </x:c>
      <x:c r="L5" s="152" t="s">
        <x:v>37</x:v>
      </x:c>
      <x:c r="M5" s="152" t="s">
        <x:v>78</x:v>
      </x:c>
      <x:c r="N5" s="152" t="s">
        <x:v>63</x:v>
      </x:c>
      <x:c r="O5" s="152" t="s">
        <x:v>92</x:v>
      </x:c>
      <x:c r="P5" s="152" t="s">
        <x:v>112</x:v>
      </x:c>
      <x:c r="Q5" s="152" t="s">
        <x:v>109</x:v>
      </x:c>
      <x:c r="R5" s="152" t="s">
        <x:v>104</x:v>
      </x:c>
    </x:row>
    <x:row r="6">
      <x:c r="A6" s="152" t="s">
        <x:v>69</x:v>
      </x:c>
      <x:c r="B6" s="162">
        <x:v>81</x:v>
      </x:c>
      <x:c r="C6" s="64"/>
      <x:c r="D6" s="152" t="s">
        <x:v>137</x:v>
      </x:c>
      <x:c r="E6" s="152">
        <x:v>2</x:v>
      </x:c>
      <x:c r="F6" s="64"/>
      <x:c r="G6" s="152" t="s">
        <x:v>108</x:v>
      </x:c>
      <x:c r="H6" s="162">
        <x:v>45.83</x:v>
      </x:c>
      <x:c r="I6" s="64"/>
      <x:c r="J6" s="152" t="s">
        <x:v>68</x:v>
      </x:c>
      <x:c r="K6" s="152" t="s">
        <x:v>42</x:v>
      </x:c>
      <x:c r="L6" s="152"/>
      <x:c r="M6" s="152" t="s">
        <x:v>81</x:v>
      </x:c>
      <x:c r="N6" s="152" t="s">
        <x:v>81</x:v>
      </x:c>
      <x:c r="O6" s="152" t="s">
        <x:v>81</x:v>
      </x:c>
      <x:c r="P6" s="152"/>
      <x:c r="Q6" s="152" t="s">
        <x:v>107</x:v>
      </x:c>
      <x:c r="R6" s="152" t="s">
        <x:v>81</x:v>
      </x:c>
    </x:row>
    <x:row r="7">
      <x:c r="A7" s="64"/>
      <x:c r="B7" s="64"/>
      <x:c r="C7" s="64"/>
      <x:c r="D7" s="152" t="s">
        <x:v>138</x:v>
      </x:c>
      <x:c r="E7" s="152">
        <x:v>4</x:v>
      </x:c>
      <x:c r="F7" s="64"/>
      <x:c r="G7" s="152" t="s">
        <x:v>109</x:v>
      </x:c>
      <x:c r="H7" s="162">
        <x:v>160</x:v>
      </x:c>
      <x:c r="I7" s="64"/>
      <x:c r="J7" s="152" t="s">
        <x:v>65</x:v>
      </x:c>
      <x:c r="K7" s="152" t="s">
        <x:v>36</x:v>
      </x:c>
      <x:c r="L7" s="152"/>
      <x:c r="M7" s="152" t="s">
        <x:v>79</x:v>
      </x:c>
      <x:c r="N7" s="152"/>
      <x:c r="O7" s="152"/>
      <x:c r="P7" s="152"/>
      <x:c r="Q7" s="152" t="s">
        <x:v>101</x:v>
      </x:c>
      <x:c r="R7" s="152"/>
    </x:row>
    <x:row r="8">
      <x:c r="A8" s="64"/>
      <x:c r="B8" s="64"/>
      <x:c r="C8" s="64"/>
      <x:c r="D8" s="64"/>
      <x:c r="E8" s="64"/>
      <x:c r="F8" s="64"/>
      <x:c r="G8" s="158" t="s">
        <x:v>139</x:v>
      </x:c>
      <x:c r="H8" s="166" t="n">
        <x:f>SUM(H4:H7)</x:f>
        <x:v>364.21</x:v>
      </x:c>
      <x:c r="I8" s="64"/>
      <x:c r="J8" s="152" t="s">
        <x:v>140</x:v>
      </x:c>
      <x:c r="K8" s="152" t="s">
        <x:v>141</x:v>
      </x:c>
      <x:c r="L8" s="152"/>
      <x:c r="M8" s="152"/>
      <x:c r="N8" s="152"/>
      <x:c r="O8" s="152"/>
      <x:c r="P8" s="152"/>
      <x:c r="Q8" s="152" t="s">
        <x:v>110</x:v>
      </x:c>
      <x:c r="R8" s="152"/>
    </x:row>
    <x:row r="9">
      <x:c r="A9" s="64"/>
      <x:c r="B9" s="64"/>
      <x:c r="C9" s="64"/>
      <x:c r="D9" s="64"/>
      <x:c r="E9" s="64"/>
      <x:c r="F9" s="64"/>
      <x:c r="G9" s="64"/>
      <x:c r="H9" s="64"/>
      <x:c r="I9" s="64"/>
      <x:c r="J9" s="152"/>
      <x:c r="K9" s="152"/>
      <x:c r="L9" s="152"/>
      <x:c r="M9" s="152"/>
      <x:c r="N9" s="152"/>
      <x:c r="O9" s="152"/>
      <x:c r="P9" s="152"/>
      <x:c r="Q9" s="152" t="s">
        <x:v>118</x:v>
      </x:c>
      <x:c r="R9" s="152"/>
    </x:row>
    <x:row r="10">
      <x:c r="A10" s="64"/>
      <x:c r="B10" s="64"/>
      <x:c r="C10" s="64"/>
      <x:c r="D10" s="64"/>
      <x:c r="E10" s="64"/>
      <x:c r="F10" s="64"/>
      <x:c r="G10" s="64"/>
      <x:c r="H10" s="64"/>
      <x:c r="I10" s="64"/>
      <x:c r="J10" s="152"/>
      <x:c r="K10" s="152"/>
      <x:c r="L10" s="152"/>
      <x:c r="M10" s="152"/>
      <x:c r="N10" s="152"/>
      <x:c r="O10" s="152"/>
      <x:c r="P10" s="152"/>
      <x:c r="Q10" s="152" t="s">
        <x:v>142</x:v>
      </x:c>
      <x:c r="R10" s="152"/>
    </x:row>
    <x:row r="11">
      <x:c r="A11" s="64"/>
      <x:c r="B11" s="64"/>
      <x:c r="C11" s="64"/>
      <x:c r="D11" s="64"/>
      <x:c r="E11" s="64"/>
      <x:c r="F11" s="64"/>
      <x:c r="G11" s="64"/>
      <x:c r="H11" s="64"/>
      <x:c r="I11" s="64"/>
      <x:c r="J11" s="152"/>
      <x:c r="K11" s="152"/>
      <x:c r="L11" s="152"/>
      <x:c r="M11" s="152"/>
      <x:c r="N11" s="152"/>
      <x:c r="O11" s="152"/>
      <x:c r="P11" s="152"/>
      <x:c r="Q11" s="152" t="s">
        <x:v>113</x:v>
      </x:c>
      <x:c r="R11" s="152"/>
    </x:row>
    <x:row r="12">
      <x:c r="A12" s="64"/>
      <x:c r="B12" s="64"/>
      <x:c r="C12" s="64"/>
      <x:c r="D12" s="64"/>
      <x:c r="E12" s="64"/>
      <x:c r="F12" s="64"/>
      <x:c r="G12" s="64"/>
      <x:c r="H12" s="64"/>
      <x:c r="I12" s="64"/>
      <x:c r="J12" s="152"/>
      <x:c r="K12" s="152"/>
      <x:c r="L12" s="152"/>
      <x:c r="M12" s="152"/>
      <x:c r="N12" s="152"/>
      <x:c r="O12" s="152"/>
      <x:c r="P12" s="152"/>
      <x:c r="Q12" s="152" t="s">
        <x:v>115</x:v>
      </x:c>
      <x:c r="R12" s="152"/>
    </x:row>
    <x:row r="13">
      <x:c r="A13" s="64"/>
      <x:c r="B13" s="64"/>
      <x:c r="C13" s="64"/>
      <x:c r="D13" s="64"/>
      <x:c r="E13" s="64"/>
      <x:c r="F13" s="64"/>
      <x:c r="G13" s="64"/>
      <x:c r="H13" s="64"/>
      <x:c r="I13" s="64"/>
      <x:c r="J13" s="152"/>
      <x:c r="K13" s="152"/>
      <x:c r="L13" s="152"/>
      <x:c r="M13" s="152"/>
      <x:c r="N13" s="152"/>
      <x:c r="O13" s="152"/>
      <x:c r="P13" s="152"/>
      <x:c r="Q13" s="152" t="s">
        <x:v>122</x:v>
      </x:c>
      <x:c r="R13" s="152"/>
    </x:row>
  </x:sheetData>
  <x:mergeCells>
    <x:mergeCell ref="A1:R1"/>
  </x:mergeCells>
  <x:pageMargins left="0.7" right="0.7" top="0.75" bottom="0.75" header="0.3" footer="0.3"/>
</x:worksheet>
</file>